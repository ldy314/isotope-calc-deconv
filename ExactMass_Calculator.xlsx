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code test\chem\同位素计算及解卷积\"/>
    </mc:Choice>
  </mc:AlternateContent>
  <xr:revisionPtr revIDLastSave="0" documentId="13_ncr:1_{D7B4ACA6-FD0C-49A8-8F3F-592BEC93CCA9}" xr6:coauthVersionLast="47" xr6:coauthVersionMax="47" xr10:uidLastSave="{00000000-0000-0000-0000-000000000000}"/>
  <bookViews>
    <workbookView xWindow="1080" yWindow="1080" windowWidth="14400" windowHeight="7380" activeTab="1" xr2:uid="{00000000-000D-0000-FFFF-FFFF00000000}"/>
  </bookViews>
  <sheets>
    <sheet name="IsotopeData" sheetId="1" r:id="rId1"/>
    <sheet name="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34" i="2" l="1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B33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B31" i="2"/>
  <c r="AA30" i="2"/>
  <c r="Z30" i="2"/>
  <c r="Y30" i="2"/>
  <c r="X30" i="2"/>
  <c r="W30" i="2"/>
  <c r="V30" i="2"/>
  <c r="U30" i="2"/>
  <c r="T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A29" i="2"/>
  <c r="Z29" i="2"/>
  <c r="Y29" i="2"/>
  <c r="X29" i="2"/>
  <c r="W29" i="2"/>
  <c r="V29" i="2"/>
  <c r="U29" i="2"/>
  <c r="T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B29" i="2"/>
  <c r="AA28" i="2"/>
  <c r="Z28" i="2"/>
  <c r="Y28" i="2"/>
  <c r="X28" i="2"/>
  <c r="W28" i="2"/>
  <c r="V28" i="2"/>
  <c r="U28" i="2"/>
  <c r="T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B28" i="2"/>
  <c r="AA27" i="2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B27" i="2"/>
  <c r="AA26" i="2"/>
  <c r="Z26" i="2"/>
  <c r="Y26" i="2"/>
  <c r="X26" i="2"/>
  <c r="W26" i="2"/>
  <c r="V26" i="2"/>
  <c r="U26" i="2"/>
  <c r="T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A5" i="2"/>
  <c r="Z5" i="2"/>
  <c r="Y5" i="2"/>
  <c r="X5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B5" i="2"/>
  <c r="B7" i="2" l="1"/>
  <c r="B10" i="2"/>
  <c r="B15" i="2" s="1"/>
  <c r="B11" i="2"/>
  <c r="B16" i="2" s="1"/>
  <c r="B20" i="2"/>
  <c r="B21" i="2"/>
  <c r="B9" i="2"/>
  <c r="B14" i="2" s="1"/>
</calcChain>
</file>

<file path=xl/sharedStrings.xml><?xml version="1.0" encoding="utf-8"?>
<sst xmlns="http://schemas.openxmlformats.org/spreadsheetml/2006/main" count="66" uniqueCount="61">
  <si>
    <t>Element</t>
  </si>
  <si>
    <t>MainMass</t>
  </si>
  <si>
    <t>MainAbund</t>
  </si>
  <si>
    <t>+1Mass</t>
  </si>
  <si>
    <t>+1Abund</t>
  </si>
  <si>
    <t>+1Ratio</t>
  </si>
  <si>
    <t>+1Delta</t>
  </si>
  <si>
    <t>+2Mass</t>
  </si>
  <si>
    <t>+2Abund</t>
  </si>
  <si>
    <t>+2Ratio</t>
  </si>
  <si>
    <t>+2Delta</t>
  </si>
  <si>
    <t>e</t>
  </si>
  <si>
    <t>H</t>
  </si>
  <si>
    <t>C</t>
  </si>
  <si>
    <t>N</t>
  </si>
  <si>
    <t>O</t>
  </si>
  <si>
    <t>F</t>
  </si>
  <si>
    <t>Si</t>
  </si>
  <si>
    <t>P</t>
  </si>
  <si>
    <t>S</t>
  </si>
  <si>
    <t>Cl</t>
  </si>
  <si>
    <t>Br</t>
  </si>
  <si>
    <t>I</t>
  </si>
  <si>
    <t>Na</t>
  </si>
  <si>
    <t>Mg</t>
  </si>
  <si>
    <t>Al</t>
  </si>
  <si>
    <t>K</t>
  </si>
  <si>
    <t>Ca</t>
  </si>
  <si>
    <t>Fe</t>
  </si>
  <si>
    <t>Cu</t>
  </si>
  <si>
    <t>Zn</t>
  </si>
  <si>
    <t>同位素精确质量 / m/z 计算器 (NIST)</t>
  </si>
  <si>
    <t>元素</t>
  </si>
  <si>
    <t>原子个数</t>
  </si>
  <si>
    <t>电荷数 z</t>
  </si>
  <si>
    <t>分子式</t>
  </si>
  <si>
    <t>M+1 同位素峰 (neutral)</t>
  </si>
  <si>
    <t>M+2 同位素峰 (neutral)</t>
  </si>
  <si>
    <t>m/z (M)</t>
  </si>
  <si>
    <t>m/z (M+1)</t>
  </si>
  <si>
    <t>m/z (M+2)</t>
  </si>
  <si>
    <t>M 丰度</t>
  </si>
  <si>
    <t>M+1 丰度</t>
  </si>
  <si>
    <t>M+2 丰度</t>
  </si>
  <si>
    <t>count * +1Ratio</t>
  </si>
  <si>
    <t>count * +2Ratio</t>
  </si>
  <si>
    <t>count*(count-1)/2 * +1Ratio^2</t>
  </si>
  <si>
    <t>(count * +1Ratio)^2</t>
  </si>
  <si>
    <t>count * MainMass</t>
  </si>
  <si>
    <t>count * +1Ratio * +1Delta</t>
  </si>
  <si>
    <t>count * +2Ratio * +2Delta</t>
  </si>
  <si>
    <t>count*(count-1) * +1Ratio^2 * +1Delta</t>
  </si>
  <si>
    <t>(count * +1Ratio)^2 * +1Delta</t>
  </si>
  <si>
    <t>使用说明：</t>
  </si>
  <si>
    <t>第3行下拉选择元素符号，第4行输入原子个数</t>
  </si>
  <si>
    <t>第6行输入电荷数z，自动显示分子式电荷 (1→⁺, -1→⁻, 2→²⁺)</t>
  </si>
  <si>
    <t>支持元素: H, C, N, O, F, Si, P, S, Cl, Br, I, Na, Mg, Al, K, Ca, Fe, Cu, Zn</t>
  </si>
  <si>
    <t>电子质量 m_e = 0.000548579909 u  |  数据来源: NIST SRD 144</t>
  </si>
  <si>
    <t>精确分子量 M (neutral, monoisotopic)</t>
    <phoneticPr fontId="11" type="noConversion"/>
  </si>
  <si>
    <t>m/z 值 (带电荷)</t>
    <phoneticPr fontId="11" type="noConversion"/>
  </si>
  <si>
    <t>相对丰度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</si>
</sst>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4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b/>
      <sz val="14"/>
      <color rgb="FF1F4E79"/>
      <name val="宋体"/>
      <charset val="134"/>
    </font>
    <font>
      <b/>
      <sz val="11"/>
      <name val="宋体"/>
      <charset val="134"/>
    </font>
    <font>
      <sz val="12"/>
      <name val="宋体"/>
      <charset val="134"/>
    </font>
    <font>
      <b/>
      <sz val="12"/>
      <name val="宋体"/>
      <charset val="134"/>
    </font>
    <font>
      <sz val="9"/>
      <color rgb="FF808080"/>
      <name val="宋体"/>
      <charset val="134"/>
    </font>
    <font>
      <b/>
      <sz val="12"/>
      <color rgb="FF1F4E79"/>
      <name val="宋体"/>
      <charset val="134"/>
    </font>
    <font>
      <b/>
      <sz val="13"/>
      <name val="宋体"/>
      <charset val="134"/>
    </font>
    <font>
      <b/>
      <sz val="10"/>
      <color rgb="FF666666"/>
      <name val="宋体"/>
      <charset val="134"/>
    </font>
    <font>
      <sz val="9"/>
      <color rgb="FF999999"/>
      <name val="宋体"/>
      <charset val="134"/>
    </font>
    <font>
      <sz val="9"/>
      <name val="宋体"/>
      <family val="3"/>
      <charset val="134"/>
      <scheme val="minor"/>
    </font>
    <font>
      <b/>
      <sz val="11"/>
      <name val="宋体"/>
      <family val="3"/>
      <charset val="134"/>
    </font>
    <font>
      <b/>
      <sz val="1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/>
    </xf>
    <xf numFmtId="1" fontId="4" fillId="2" borderId="1" xfId="0" applyNumberFormat="1" applyFont="1" applyFill="1" applyBorder="1" applyAlignment="1">
      <alignment horizontal="center"/>
    </xf>
    <xf numFmtId="0" fontId="6" fillId="0" borderId="0" xfId="0" applyFont="1"/>
    <xf numFmtId="1" fontId="5" fillId="3" borderId="1" xfId="0" applyNumberFormat="1" applyFont="1" applyFill="1" applyBorder="1" applyAlignment="1">
      <alignment horizontal="center"/>
    </xf>
    <xf numFmtId="0" fontId="7" fillId="0" borderId="0" xfId="0" applyFont="1"/>
    <xf numFmtId="0" fontId="3" fillId="4" borderId="1" xfId="0" applyFont="1" applyFill="1" applyBorder="1"/>
    <xf numFmtId="176" fontId="8" fillId="4" borderId="1" xfId="0" applyNumberFormat="1" applyFont="1" applyFill="1" applyBorder="1"/>
    <xf numFmtId="0" fontId="0" fillId="0" borderId="1" xfId="0" applyBorder="1"/>
    <xf numFmtId="0" fontId="3" fillId="0" borderId="1" xfId="0" applyFont="1" applyBorder="1"/>
    <xf numFmtId="176" fontId="8" fillId="0" borderId="1" xfId="0" applyNumberFormat="1" applyFont="1" applyBorder="1"/>
    <xf numFmtId="10" fontId="5" fillId="0" borderId="1" xfId="0" applyNumberFormat="1" applyFont="1" applyBorder="1"/>
    <xf numFmtId="0" fontId="9" fillId="0" borderId="0" xfId="0" applyFont="1"/>
    <xf numFmtId="0" fontId="10" fillId="0" borderId="0" xfId="0" applyFont="1"/>
    <xf numFmtId="0" fontId="2" fillId="0" borderId="0" xfId="0" applyFont="1"/>
    <xf numFmtId="0" fontId="0" fillId="0" borderId="0" xfId="0"/>
    <xf numFmtId="0" fontId="12" fillId="4" borderId="1" xfId="0" applyFont="1" applyFill="1" applyBorder="1"/>
    <xf numFmtId="0" fontId="1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workbookViewId="0"/>
  </sheetViews>
  <sheetFormatPr defaultRowHeight="13.25" x14ac:dyDescent="0.45"/>
  <sheetData>
    <row r="1" spans="1:1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45">
      <c r="A2" t="s">
        <v>11</v>
      </c>
      <c r="B2">
        <v>5.4857990900000005E-4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</row>
    <row r="3" spans="1:11" x14ac:dyDescent="0.45">
      <c r="A3" t="s">
        <v>12</v>
      </c>
      <c r="B3">
        <v>1.00782503223</v>
      </c>
      <c r="C3">
        <v>0.99988500000000002</v>
      </c>
      <c r="D3">
        <v>2.0141017781200001</v>
      </c>
      <c r="E3">
        <v>1.15E-4</v>
      </c>
      <c r="F3">
        <v>1.150132265210499E-4</v>
      </c>
      <c r="G3">
        <v>1.0062767458899999</v>
      </c>
      <c r="H3">
        <v>0</v>
      </c>
      <c r="I3">
        <v>0</v>
      </c>
      <c r="J3">
        <v>0</v>
      </c>
      <c r="K3">
        <v>0</v>
      </c>
    </row>
    <row r="4" spans="1:11" x14ac:dyDescent="0.45">
      <c r="A4" t="s">
        <v>13</v>
      </c>
      <c r="B4">
        <v>12</v>
      </c>
      <c r="C4">
        <v>0.98929999999999996</v>
      </c>
      <c r="D4">
        <v>13.003354835070001</v>
      </c>
      <c r="E4">
        <v>1.0699999999999999E-2</v>
      </c>
      <c r="F4">
        <v>1.0815728292732229E-2</v>
      </c>
      <c r="G4">
        <v>1.003354835070001</v>
      </c>
      <c r="H4">
        <v>0</v>
      </c>
      <c r="I4">
        <v>0</v>
      </c>
      <c r="J4">
        <v>0</v>
      </c>
      <c r="K4">
        <v>0</v>
      </c>
    </row>
    <row r="5" spans="1:11" x14ac:dyDescent="0.45">
      <c r="A5" t="s">
        <v>14</v>
      </c>
      <c r="B5">
        <v>14.003074004429999</v>
      </c>
      <c r="C5">
        <v>0.99636000000000002</v>
      </c>
      <c r="D5">
        <v>15.000108898880001</v>
      </c>
      <c r="E5">
        <v>3.64E-3</v>
      </c>
      <c r="F5">
        <v>3.6532980047372429E-3</v>
      </c>
      <c r="G5">
        <v>0.99703489445000137</v>
      </c>
      <c r="H5">
        <v>0</v>
      </c>
      <c r="I5">
        <v>0</v>
      </c>
      <c r="J5">
        <v>0</v>
      </c>
      <c r="K5">
        <v>0</v>
      </c>
    </row>
    <row r="6" spans="1:11" x14ac:dyDescent="0.45">
      <c r="A6" t="s">
        <v>15</v>
      </c>
      <c r="B6">
        <v>15.99491461957</v>
      </c>
      <c r="C6">
        <v>0.99756999999999996</v>
      </c>
      <c r="D6">
        <v>16.999131756499999</v>
      </c>
      <c r="E6">
        <v>3.8000000000000002E-4</v>
      </c>
      <c r="F6">
        <v>3.8092564932786681E-4</v>
      </c>
      <c r="G6">
        <v>1.004217136929999</v>
      </c>
      <c r="H6">
        <v>17.999159612860002</v>
      </c>
      <c r="I6">
        <v>2.0500000000000002E-3</v>
      </c>
      <c r="J6">
        <v>2.0549936345319129E-3</v>
      </c>
      <c r="K6">
        <v>2.0042449932900008</v>
      </c>
    </row>
    <row r="7" spans="1:11" x14ac:dyDescent="0.45">
      <c r="A7" t="s">
        <v>16</v>
      </c>
      <c r="B7">
        <v>18.99840316273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</row>
    <row r="8" spans="1:11" x14ac:dyDescent="0.45">
      <c r="A8" t="s">
        <v>17</v>
      </c>
      <c r="B8">
        <v>27.976926534650001</v>
      </c>
      <c r="C8">
        <v>0.92222999999999999</v>
      </c>
      <c r="D8">
        <v>28.976494664899999</v>
      </c>
      <c r="E8">
        <v>4.6850000000000003E-2</v>
      </c>
      <c r="F8">
        <v>5.0800776378994397E-2</v>
      </c>
      <c r="G8">
        <v>0.99956813024999747</v>
      </c>
      <c r="H8">
        <v>29.973770135999999</v>
      </c>
      <c r="I8">
        <v>3.092E-2</v>
      </c>
      <c r="J8">
        <v>3.3527428081931841E-2</v>
      </c>
      <c r="K8">
        <v>1.9968436013499971</v>
      </c>
    </row>
    <row r="9" spans="1:11" x14ac:dyDescent="0.45">
      <c r="A9" t="s">
        <v>18</v>
      </c>
      <c r="B9">
        <v>30.973761998419999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</row>
    <row r="10" spans="1:11" x14ac:dyDescent="0.45">
      <c r="A10" t="s">
        <v>19</v>
      </c>
      <c r="B10">
        <v>31.972071174410001</v>
      </c>
      <c r="C10">
        <v>0.94989999999999997</v>
      </c>
      <c r="D10">
        <v>32.971458910000003</v>
      </c>
      <c r="E10">
        <v>7.4999999999999997E-3</v>
      </c>
      <c r="F10">
        <v>7.8955679545215287E-3</v>
      </c>
      <c r="G10">
        <v>0.99938773559000182</v>
      </c>
      <c r="H10">
        <v>33.967866999999998</v>
      </c>
      <c r="I10">
        <v>4.2500000000000003E-2</v>
      </c>
      <c r="J10">
        <v>4.4741551742288672E-2</v>
      </c>
      <c r="K10">
        <v>1.995795825589997</v>
      </c>
    </row>
    <row r="11" spans="1:11" x14ac:dyDescent="0.45">
      <c r="A11" t="s">
        <v>20</v>
      </c>
      <c r="B11">
        <v>34.968852681000001</v>
      </c>
      <c r="C11">
        <v>0.75760000000000005</v>
      </c>
      <c r="D11">
        <v>0</v>
      </c>
      <c r="E11">
        <v>0</v>
      </c>
      <c r="F11">
        <v>0</v>
      </c>
      <c r="G11">
        <v>0</v>
      </c>
      <c r="H11">
        <v>36.965902602</v>
      </c>
      <c r="I11">
        <v>0.2424</v>
      </c>
      <c r="J11">
        <v>0.31995776135163673</v>
      </c>
      <c r="K11">
        <v>1.997049920999999</v>
      </c>
    </row>
    <row r="12" spans="1:11" x14ac:dyDescent="0.45">
      <c r="A12" t="s">
        <v>21</v>
      </c>
      <c r="B12">
        <v>78.918337695000005</v>
      </c>
      <c r="C12">
        <v>0.50690000000000002</v>
      </c>
      <c r="D12">
        <v>0</v>
      </c>
      <c r="E12">
        <v>0</v>
      </c>
      <c r="F12">
        <v>0</v>
      </c>
      <c r="G12">
        <v>0</v>
      </c>
      <c r="H12">
        <v>80.916289699999993</v>
      </c>
      <c r="I12">
        <v>0.49309999999999998</v>
      </c>
      <c r="J12">
        <v>0.97277569540343256</v>
      </c>
      <c r="K12">
        <v>1.9979520049999879</v>
      </c>
    </row>
    <row r="13" spans="1:11" x14ac:dyDescent="0.45">
      <c r="A13" t="s">
        <v>22</v>
      </c>
      <c r="B13">
        <v>126.9044719</v>
      </c>
      <c r="C13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</row>
    <row r="14" spans="1:11" x14ac:dyDescent="0.45">
      <c r="A14" t="s">
        <v>23</v>
      </c>
      <c r="B14">
        <v>22.989769282000001</v>
      </c>
      <c r="C14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</row>
    <row r="15" spans="1:11" x14ac:dyDescent="0.45">
      <c r="A15" t="s">
        <v>24</v>
      </c>
      <c r="B15">
        <v>23.985041697</v>
      </c>
      <c r="C15">
        <v>0.78990000000000005</v>
      </c>
      <c r="D15">
        <v>24.985836976000002</v>
      </c>
      <c r="E15">
        <v>0.1</v>
      </c>
      <c r="F15">
        <v>0.126598303582732</v>
      </c>
      <c r="G15">
        <v>1.0007952790000021</v>
      </c>
      <c r="H15">
        <v>25.982592967999999</v>
      </c>
      <c r="I15">
        <v>0.1101</v>
      </c>
      <c r="J15">
        <v>0.13938473224458789</v>
      </c>
      <c r="K15">
        <v>1.997551270999999</v>
      </c>
    </row>
    <row r="16" spans="1:11" x14ac:dyDescent="0.45">
      <c r="A16" t="s">
        <v>25</v>
      </c>
      <c r="B16">
        <v>26.981538530000002</v>
      </c>
      <c r="C16">
        <v>1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</row>
    <row r="17" spans="1:11" x14ac:dyDescent="0.45">
      <c r="A17" t="s">
        <v>26</v>
      </c>
      <c r="B17">
        <v>38.963706500000001</v>
      </c>
      <c r="C17">
        <v>0.93258099999999999</v>
      </c>
      <c r="D17">
        <v>39.963998170000004</v>
      </c>
      <c r="E17">
        <v>1.17E-4</v>
      </c>
      <c r="F17">
        <v>1.2545827118502309E-4</v>
      </c>
      <c r="G17">
        <v>1.0002916700000031</v>
      </c>
      <c r="H17">
        <v>40.961825259999998</v>
      </c>
      <c r="I17">
        <v>6.7302000000000001E-2</v>
      </c>
      <c r="J17">
        <v>7.2167457840123267E-2</v>
      </c>
      <c r="K17">
        <v>1.998118759999997</v>
      </c>
    </row>
    <row r="18" spans="1:11" x14ac:dyDescent="0.45">
      <c r="A18" t="s">
        <v>27</v>
      </c>
      <c r="B18">
        <v>39.962590859999999</v>
      </c>
      <c r="C18">
        <v>0.96940999999999999</v>
      </c>
      <c r="D18">
        <v>41.958617830000001</v>
      </c>
      <c r="E18">
        <v>6.4700000000000001E-3</v>
      </c>
      <c r="F18">
        <v>6.674162635004797E-3</v>
      </c>
      <c r="G18">
        <v>1.9960269700000031</v>
      </c>
      <c r="H18">
        <v>42.95876638</v>
      </c>
      <c r="I18">
        <v>1.3500000000000001E-3</v>
      </c>
      <c r="J18">
        <v>1.3925996224507691E-3</v>
      </c>
      <c r="K18">
        <v>2.9961755200000009</v>
      </c>
    </row>
    <row r="19" spans="1:11" x14ac:dyDescent="0.45">
      <c r="A19" t="s">
        <v>28</v>
      </c>
      <c r="B19">
        <v>55.934937480000002</v>
      </c>
      <c r="C19">
        <v>0.91754000000000002</v>
      </c>
      <c r="D19">
        <v>56.935392839999999</v>
      </c>
      <c r="E19">
        <v>5.8450000000000002E-2</v>
      </c>
      <c r="F19">
        <v>6.3702944830743069E-2</v>
      </c>
      <c r="G19">
        <v>1.000455359999997</v>
      </c>
      <c r="H19">
        <v>57.933274429999997</v>
      </c>
      <c r="I19">
        <v>2.1190000000000001E-2</v>
      </c>
      <c r="J19">
        <v>2.3094361008784359E-2</v>
      </c>
      <c r="K19">
        <v>1.998336949999995</v>
      </c>
    </row>
    <row r="20" spans="1:11" x14ac:dyDescent="0.45">
      <c r="A20" t="s">
        <v>29</v>
      </c>
      <c r="B20">
        <v>62.929597719999997</v>
      </c>
      <c r="C20">
        <v>0.6915</v>
      </c>
      <c r="D20">
        <v>0</v>
      </c>
      <c r="E20">
        <v>0</v>
      </c>
      <c r="F20">
        <v>0</v>
      </c>
      <c r="G20">
        <v>0</v>
      </c>
      <c r="H20">
        <v>64.927789700000005</v>
      </c>
      <c r="I20">
        <v>0.3085</v>
      </c>
      <c r="J20">
        <v>0.44613159797541568</v>
      </c>
      <c r="K20">
        <v>1.998191980000009</v>
      </c>
    </row>
    <row r="21" spans="1:11" x14ac:dyDescent="0.45">
      <c r="A21" t="s">
        <v>30</v>
      </c>
      <c r="B21">
        <v>63.929142169999999</v>
      </c>
      <c r="C21">
        <v>0.49170000000000003</v>
      </c>
      <c r="D21">
        <v>64.929240840000006</v>
      </c>
      <c r="E21">
        <v>0.27729999999999999</v>
      </c>
      <c r="F21">
        <v>0.56396176530404718</v>
      </c>
      <c r="G21">
        <v>1.000098670000007</v>
      </c>
      <c r="H21">
        <v>65.926033810000007</v>
      </c>
      <c r="I21">
        <v>4.0399999999999998E-2</v>
      </c>
      <c r="J21">
        <v>8.2163921090095585E-2</v>
      </c>
      <c r="K21">
        <v>1.9968916400000081</v>
      </c>
    </row>
  </sheetData>
  <phoneticPr fontId="1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40"/>
  <sheetViews>
    <sheetView tabSelected="1" topLeftCell="A13" workbookViewId="0">
      <selection activeCell="A18" sqref="A18"/>
    </sheetView>
  </sheetViews>
  <sheetFormatPr defaultRowHeight="13.25" x14ac:dyDescent="0.45"/>
  <cols>
    <col min="1" max="1" width="22" customWidth="1"/>
    <col min="2" max="2" width="18.453125" bestFit="1" customWidth="1"/>
    <col min="3" max="27" width="10" customWidth="1"/>
  </cols>
  <sheetData>
    <row r="1" spans="1:28" ht="17.25" x14ac:dyDescent="0.6">
      <c r="A1" s="16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</row>
    <row r="3" spans="1:28" ht="15" x14ac:dyDescent="0.55000000000000004">
      <c r="A3" s="2" t="s">
        <v>32</v>
      </c>
      <c r="B3" s="3" t="s">
        <v>13</v>
      </c>
      <c r="C3" s="3" t="s">
        <v>12</v>
      </c>
      <c r="D3" s="3" t="s">
        <v>15</v>
      </c>
      <c r="E3" s="3" t="s">
        <v>14</v>
      </c>
      <c r="F3" s="3" t="s">
        <v>19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 spans="1:28" ht="15" x14ac:dyDescent="0.55000000000000004">
      <c r="A4" s="2" t="s">
        <v>33</v>
      </c>
      <c r="B4" s="4">
        <v>134</v>
      </c>
      <c r="C4" s="4">
        <v>198</v>
      </c>
      <c r="D4" s="4">
        <v>35</v>
      </c>
      <c r="E4" s="4">
        <v>28</v>
      </c>
      <c r="F4" s="4">
        <v>2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8" x14ac:dyDescent="0.45">
      <c r="B5" s="5" t="str">
        <f t="shared" ref="B5:AA5" si="0">IF(B3="","",B3&amp;SUBSTITUTE(SUBSTITUTE(SUBSTITUTE(SUBSTITUTE(SUBSTITUTE(SUBSTITUTE(SUBSTITUTE(SUBSTITUTE(SUBSTITUTE(SUBSTITUTE(TEXT(B4,"0"),"0","₀"),"1","₁"),"2","₂"),"3","₃"),"4","₄"),"5","₅"),"6","₆"),"7","₇"),"8","₈"),"9","₉"))</f>
        <v>C₁₃₄</v>
      </c>
      <c r="C5" s="5" t="str">
        <f t="shared" si="0"/>
        <v>H₁₉₈</v>
      </c>
      <c r="D5" s="5" t="str">
        <f t="shared" si="0"/>
        <v>O₃₅</v>
      </c>
      <c r="E5" s="5" t="str">
        <f t="shared" si="0"/>
        <v>N₂₈</v>
      </c>
      <c r="F5" s="5" t="str">
        <f t="shared" si="0"/>
        <v>S₂</v>
      </c>
      <c r="G5" s="5" t="str">
        <f t="shared" si="0"/>
        <v/>
      </c>
      <c r="H5" s="5" t="str">
        <f t="shared" si="0"/>
        <v/>
      </c>
      <c r="I5" s="5" t="str">
        <f t="shared" si="0"/>
        <v/>
      </c>
      <c r="J5" s="5" t="str">
        <f t="shared" si="0"/>
        <v/>
      </c>
      <c r="K5" s="5" t="str">
        <f t="shared" si="0"/>
        <v/>
      </c>
      <c r="L5" s="5" t="str">
        <f t="shared" si="0"/>
        <v/>
      </c>
      <c r="M5" s="5" t="str">
        <f t="shared" si="0"/>
        <v/>
      </c>
      <c r="N5" s="5" t="str">
        <f t="shared" si="0"/>
        <v/>
      </c>
      <c r="O5" s="5" t="str">
        <f t="shared" si="0"/>
        <v/>
      </c>
      <c r="P5" s="5" t="str">
        <f t="shared" si="0"/>
        <v/>
      </c>
      <c r="Q5" s="5" t="str">
        <f t="shared" si="0"/>
        <v/>
      </c>
      <c r="R5" s="5" t="str">
        <f t="shared" si="0"/>
        <v/>
      </c>
      <c r="S5" s="5" t="str">
        <f t="shared" si="0"/>
        <v/>
      </c>
      <c r="T5" s="5" t="str">
        <f t="shared" si="0"/>
        <v/>
      </c>
      <c r="U5" s="5" t="str">
        <f t="shared" si="0"/>
        <v/>
      </c>
      <c r="V5" s="5" t="str">
        <f t="shared" si="0"/>
        <v/>
      </c>
      <c r="W5" s="5" t="str">
        <f t="shared" si="0"/>
        <v/>
      </c>
      <c r="X5" s="5" t="str">
        <f t="shared" si="0"/>
        <v/>
      </c>
      <c r="Y5" s="5" t="str">
        <f t="shared" si="0"/>
        <v/>
      </c>
      <c r="Z5" s="5" t="str">
        <f t="shared" si="0"/>
        <v/>
      </c>
      <c r="AA5" s="5" t="str">
        <f t="shared" si="0"/>
        <v/>
      </c>
    </row>
    <row r="6" spans="1:28" ht="15" x14ac:dyDescent="0.55000000000000004">
      <c r="A6" s="2" t="s">
        <v>34</v>
      </c>
      <c r="B6" s="6">
        <v>1</v>
      </c>
    </row>
    <row r="7" spans="1:28" ht="15" x14ac:dyDescent="0.55000000000000004">
      <c r="A7" s="2" t="s">
        <v>35</v>
      </c>
      <c r="B7" s="7" t="str">
        <f>IFERROR(CONCATENATE(B5,C5,D5,E5,F5,G5,H5,I5,J5,K5,L5,M5,N5,O5,P5,Q5,R5,S5,T5,U5,V5,W5,X5,Y5,Z5,AA5),"")&amp;IF(B6=0,"",IF(ABS(B6)=1,"",SUBSTITUTE(SUBSTITUTE(SUBSTITUTE(SUBSTITUTE(SUBSTITUTE(SUBSTITUTE(SUBSTITUTE(SUBSTITUTE(SUBSTITUTE(SUBSTITUTE(TEXT(ABS(B6),"0"),"0","⁰"),"1","¹"),"2","²"),"3","³"),"4","⁴"),"5","⁵"),"6","⁶"),"7","⁷"),"8","⁸"),"9","⁹"))&amp;IF(B6&gt;0,"⁺","⁻"))</f>
        <v>C₁₃₄H₁₉₈O₃₅N₂₈S₂⁺</v>
      </c>
    </row>
    <row r="9" spans="1:28" ht="16" x14ac:dyDescent="0.55000000000000004">
      <c r="A9" s="18" t="s">
        <v>58</v>
      </c>
      <c r="B9" s="9">
        <f>SUM(30:30)</f>
        <v>2823.4015825393503</v>
      </c>
    </row>
    <row r="10" spans="1:28" ht="16" x14ac:dyDescent="0.55000000000000004">
      <c r="A10" s="8" t="s">
        <v>36</v>
      </c>
      <c r="B10" s="9">
        <f>SUM(30:30)+IF(SUM(26:26)=0,0,SUM(31:31)/SUM(26:26))</f>
        <v>2824.4045438028738</v>
      </c>
    </row>
    <row r="11" spans="1:28" ht="16" x14ac:dyDescent="0.55000000000000004">
      <c r="A11" s="8" t="s">
        <v>37</v>
      </c>
      <c r="B11" s="9">
        <f>SUM(30:30)+IF(SUM(27:27)+SUM(28:28)+(SUM(26:26)^2-SUM(29:29))/2=0,0,(SUM(32:32)+SUM(33:33)+SUM(26:26)*SUM(31:31)-SUM(34:34))/(SUM(27:27)+SUM(28:28)+(SUM(26:26)^2-SUM(29:29))/2))</f>
        <v>2825.406789007684</v>
      </c>
    </row>
    <row r="12" spans="1:28" ht="16" x14ac:dyDescent="0.55000000000000004">
      <c r="A12" s="8"/>
      <c r="B12" s="9"/>
    </row>
    <row r="13" spans="1:28" ht="16" x14ac:dyDescent="0.55000000000000004">
      <c r="A13" s="19" t="s">
        <v>59</v>
      </c>
      <c r="B13" s="10"/>
    </row>
    <row r="14" spans="1:28" ht="16" x14ac:dyDescent="0.55000000000000004">
      <c r="A14" s="11" t="s">
        <v>38</v>
      </c>
      <c r="B14" s="12">
        <f>(B9-$B$6*IsotopeData!$B$2)/$B$6</f>
        <v>2823.4010339594415</v>
      </c>
    </row>
    <row r="15" spans="1:28" ht="16" x14ac:dyDescent="0.55000000000000004">
      <c r="A15" s="11" t="s">
        <v>39</v>
      </c>
      <c r="B15" s="12">
        <f>(B10-$B$6*IsotopeData!$B$2)/$B$6</f>
        <v>2824.403995222965</v>
      </c>
    </row>
    <row r="16" spans="1:28" ht="16" x14ac:dyDescent="0.55000000000000004">
      <c r="A16" s="11" t="s">
        <v>40</v>
      </c>
      <c r="B16" s="12">
        <f>(B11-$B$6*IsotopeData!$B$2)/$B$6</f>
        <v>2825.4062404277752</v>
      </c>
    </row>
    <row r="18" spans="1:27" ht="16" x14ac:dyDescent="0.55000000000000004">
      <c r="A18" s="19" t="s">
        <v>60</v>
      </c>
      <c r="B18" s="10"/>
    </row>
    <row r="19" spans="1:27" ht="15" x14ac:dyDescent="0.55000000000000004">
      <c r="A19" s="2" t="s">
        <v>41</v>
      </c>
      <c r="B19" s="13">
        <v>1</v>
      </c>
    </row>
    <row r="20" spans="1:27" ht="15" x14ac:dyDescent="0.55000000000000004">
      <c r="A20" s="2" t="s">
        <v>42</v>
      </c>
      <c r="B20" s="13">
        <f>SUM(26:26)</f>
        <v>1.6034960878454478</v>
      </c>
    </row>
    <row r="21" spans="1:27" ht="15" x14ac:dyDescent="0.55000000000000004">
      <c r="A21" s="2" t="s">
        <v>43</v>
      </c>
      <c r="B21" s="13">
        <f>SUM(27:27)+SUM(28:28)+(SUM(26:26)^2-SUM(29:29))/2</f>
        <v>1.4389170328973742</v>
      </c>
    </row>
    <row r="26" spans="1:27" hidden="1" x14ac:dyDescent="0.45">
      <c r="A26" s="5" t="s">
        <v>44</v>
      </c>
      <c r="B26">
        <f>B4*IF(B3="",0,VLOOKUP(B3,IsotopeData!$A$2:$K$21,6,FALSE))</f>
        <v>1.4493075912261186</v>
      </c>
      <c r="C26">
        <f>C4*IF(C3="",0,VLOOKUP(C3,IsotopeData!$A$2:$K$21,6,FALSE))</f>
        <v>2.2772618851167881E-2</v>
      </c>
      <c r="D26">
        <f>D4*IF(D3="",0,VLOOKUP(D3,IsotopeData!$A$2:$K$21,6,FALSE))</f>
        <v>1.3332397726475339E-2</v>
      </c>
      <c r="E26">
        <f>E4*IF(E3="",0,VLOOKUP(E3,IsotopeData!$A$2:$K$21,6,FALSE))</f>
        <v>0.10229234413264279</v>
      </c>
      <c r="F26">
        <f>F4*IF(F3="",0,VLOOKUP(F3,IsotopeData!$A$2:$K$21,6,FALSE))</f>
        <v>1.5791135909043057E-2</v>
      </c>
      <c r="G26">
        <f>G4*IF(G3="",0,VLOOKUP(G3,IsotopeData!$A$2:$K$21,6,FALSE))</f>
        <v>0</v>
      </c>
      <c r="H26">
        <f>H4*IF(H3="",0,VLOOKUP(H3,IsotopeData!$A$2:$K$21,6,FALSE))</f>
        <v>0</v>
      </c>
      <c r="I26">
        <f>I4*IF(I3="",0,VLOOKUP(I3,IsotopeData!$A$2:$K$21,6,FALSE))</f>
        <v>0</v>
      </c>
      <c r="J26">
        <f>J4*IF(J3="",0,VLOOKUP(J3,IsotopeData!$A$2:$K$21,6,FALSE))</f>
        <v>0</v>
      </c>
      <c r="K26">
        <f>K4*IF(K3="",0,VLOOKUP(K3,IsotopeData!$A$2:$K$21,6,FALSE))</f>
        <v>0</v>
      </c>
      <c r="L26">
        <f>L4*IF(L3="",0,VLOOKUP(L3,IsotopeData!$A$2:$K$21,6,FALSE))</f>
        <v>0</v>
      </c>
      <c r="M26">
        <f>M4*IF(M3="",0,VLOOKUP(M3,IsotopeData!$A$2:$K$21,6,FALSE))</f>
        <v>0</v>
      </c>
      <c r="N26">
        <f>N4*IF(N3="",0,VLOOKUP(N3,IsotopeData!$A$2:$K$21,6,FALSE))</f>
        <v>0</v>
      </c>
      <c r="O26">
        <f>O4*IF(O3="",0,VLOOKUP(O3,IsotopeData!$A$2:$K$21,6,FALSE))</f>
        <v>0</v>
      </c>
      <c r="P26">
        <f>P4*IF(P3="",0,VLOOKUP(P3,IsotopeData!$A$2:$K$21,6,FALSE))</f>
        <v>0</v>
      </c>
      <c r="Q26">
        <f>Q4*IF(Q3="",0,VLOOKUP(Q3,IsotopeData!$A$2:$K$21,6,FALSE))</f>
        <v>0</v>
      </c>
      <c r="R26">
        <f>R4*IF(R3="",0,VLOOKUP(R3,IsotopeData!$A$2:$K$21,6,FALSE))</f>
        <v>0</v>
      </c>
      <c r="S26">
        <f>S4*IF(S3="",0,VLOOKUP(S3,IsotopeData!$A$2:$K$21,6,FALSE))</f>
        <v>0</v>
      </c>
      <c r="T26">
        <f>T4*IF(T3="",0,VLOOKUP(T3,IsotopeData!$A$2:$K$21,6,FALSE))</f>
        <v>0</v>
      </c>
      <c r="U26">
        <f>U4*IF(U3="",0,VLOOKUP(U3,IsotopeData!$A$2:$K$21,6,FALSE))</f>
        <v>0</v>
      </c>
      <c r="V26">
        <f>V4*IF(V3="",0,VLOOKUP(V3,IsotopeData!$A$2:$K$21,6,FALSE))</f>
        <v>0</v>
      </c>
      <c r="W26">
        <f>W4*IF(W3="",0,VLOOKUP(W3,IsotopeData!$A$2:$K$21,6,FALSE))</f>
        <v>0</v>
      </c>
      <c r="X26">
        <f>X4*IF(X3="",0,VLOOKUP(X3,IsotopeData!$A$2:$K$21,6,FALSE))</f>
        <v>0</v>
      </c>
      <c r="Y26">
        <f>Y4*IF(Y3="",0,VLOOKUP(Y3,IsotopeData!$A$2:$K$21,6,FALSE))</f>
        <v>0</v>
      </c>
      <c r="Z26">
        <f>Z4*IF(Z3="",0,VLOOKUP(Z3,IsotopeData!$A$2:$K$21,6,FALSE))</f>
        <v>0</v>
      </c>
      <c r="AA26">
        <f>AA4*IF(AA3="",0,VLOOKUP(AA3,IsotopeData!$A$2:$K$21,6,FALSE))</f>
        <v>0</v>
      </c>
    </row>
    <row r="27" spans="1:27" hidden="1" x14ac:dyDescent="0.45">
      <c r="A27" s="5" t="s">
        <v>45</v>
      </c>
      <c r="B27">
        <f>B4*IF(B3="",0,VLOOKUP(B3,IsotopeData!$A$2:$K$21,10,FALSE))</f>
        <v>0</v>
      </c>
      <c r="C27">
        <f>C4*IF(C3="",0,VLOOKUP(C3,IsotopeData!$A$2:$K$21,10,FALSE))</f>
        <v>0</v>
      </c>
      <c r="D27">
        <f>D4*IF(D3="",0,VLOOKUP(D3,IsotopeData!$A$2:$K$21,10,FALSE))</f>
        <v>7.1924777208616952E-2</v>
      </c>
      <c r="E27">
        <f>E4*IF(E3="",0,VLOOKUP(E3,IsotopeData!$A$2:$K$21,10,FALSE))</f>
        <v>0</v>
      </c>
      <c r="F27">
        <f>F4*IF(F3="",0,VLOOKUP(F3,IsotopeData!$A$2:$K$21,10,FALSE))</f>
        <v>8.9483103484577345E-2</v>
      </c>
      <c r="G27">
        <f>G4*IF(G3="",0,VLOOKUP(G3,IsotopeData!$A$2:$K$21,10,FALSE))</f>
        <v>0</v>
      </c>
      <c r="H27">
        <f>H4*IF(H3="",0,VLOOKUP(H3,IsotopeData!$A$2:$K$21,10,FALSE))</f>
        <v>0</v>
      </c>
      <c r="I27">
        <f>I4*IF(I3="",0,VLOOKUP(I3,IsotopeData!$A$2:$K$21,10,FALSE))</f>
        <v>0</v>
      </c>
      <c r="J27">
        <f>J4*IF(J3="",0,VLOOKUP(J3,IsotopeData!$A$2:$K$21,10,FALSE))</f>
        <v>0</v>
      </c>
      <c r="K27">
        <f>K4*IF(K3="",0,VLOOKUP(K3,IsotopeData!$A$2:$K$21,10,FALSE))</f>
        <v>0</v>
      </c>
      <c r="L27">
        <f>L4*IF(L3="",0,VLOOKUP(L3,IsotopeData!$A$2:$K$21,10,FALSE))</f>
        <v>0</v>
      </c>
      <c r="M27">
        <f>M4*IF(M3="",0,VLOOKUP(M3,IsotopeData!$A$2:$K$21,10,FALSE))</f>
        <v>0</v>
      </c>
      <c r="N27">
        <f>N4*IF(N3="",0,VLOOKUP(N3,IsotopeData!$A$2:$K$21,10,FALSE))</f>
        <v>0</v>
      </c>
      <c r="O27">
        <f>O4*IF(O3="",0,VLOOKUP(O3,IsotopeData!$A$2:$K$21,10,FALSE))</f>
        <v>0</v>
      </c>
      <c r="P27">
        <f>P4*IF(P3="",0,VLOOKUP(P3,IsotopeData!$A$2:$K$21,10,FALSE))</f>
        <v>0</v>
      </c>
      <c r="Q27">
        <f>Q4*IF(Q3="",0,VLOOKUP(Q3,IsotopeData!$A$2:$K$21,10,FALSE))</f>
        <v>0</v>
      </c>
      <c r="R27">
        <f>R4*IF(R3="",0,VLOOKUP(R3,IsotopeData!$A$2:$K$21,10,FALSE))</f>
        <v>0</v>
      </c>
      <c r="S27">
        <f>S4*IF(S3="",0,VLOOKUP(S3,IsotopeData!$A$2:$K$21,10,FALSE))</f>
        <v>0</v>
      </c>
      <c r="T27">
        <f>T4*IF(T3="",0,VLOOKUP(T3,IsotopeData!$A$2:$K$21,10,FALSE))</f>
        <v>0</v>
      </c>
      <c r="U27">
        <f>U4*IF(U3="",0,VLOOKUP(U3,IsotopeData!$A$2:$K$21,10,FALSE))</f>
        <v>0</v>
      </c>
      <c r="V27">
        <f>V4*IF(V3="",0,VLOOKUP(V3,IsotopeData!$A$2:$K$21,10,FALSE))</f>
        <v>0</v>
      </c>
      <c r="W27">
        <f>W4*IF(W3="",0,VLOOKUP(W3,IsotopeData!$A$2:$K$21,10,FALSE))</f>
        <v>0</v>
      </c>
      <c r="X27">
        <f>X4*IF(X3="",0,VLOOKUP(X3,IsotopeData!$A$2:$K$21,10,FALSE))</f>
        <v>0</v>
      </c>
      <c r="Y27">
        <f>Y4*IF(Y3="",0,VLOOKUP(Y3,IsotopeData!$A$2:$K$21,10,FALSE))</f>
        <v>0</v>
      </c>
      <c r="Z27">
        <f>Z4*IF(Z3="",0,VLOOKUP(Z3,IsotopeData!$A$2:$K$21,10,FALSE))</f>
        <v>0</v>
      </c>
      <c r="AA27">
        <f>AA4*IF(AA3="",0,VLOOKUP(AA3,IsotopeData!$A$2:$K$21,10,FALSE))</f>
        <v>0</v>
      </c>
    </row>
    <row r="28" spans="1:27" hidden="1" x14ac:dyDescent="0.45">
      <c r="A28" s="5" t="s">
        <v>46</v>
      </c>
      <c r="B28">
        <f>B4*(B4-1)/2*IF(B3="",0,VLOOKUP(B3,IsotopeData!$A$2:$K$21,6,FALSE))^2</f>
        <v>1.0424085884331793</v>
      </c>
      <c r="C28">
        <f>C4*(C4-1)/2*IF(C3="",0,VLOOKUP(C3,IsotopeData!$A$2:$K$21,6,FALSE))^2</f>
        <v>2.5798650848507992E-4</v>
      </c>
      <c r="D28">
        <f>D4*(D4-1)/2*IF(D3="",0,VLOOKUP(D3,IsotopeData!$A$2:$K$21,6,FALSE))^2</f>
        <v>8.6337088437934896E-5</v>
      </c>
      <c r="E28">
        <f>E4*(E4-1)/2*IF(E3="",0,VLOOKUP(E3,IsotopeData!$A$2:$K$21,6,FALSE))^2</f>
        <v>5.0450096257156716E-3</v>
      </c>
      <c r="F28">
        <f>F4*(F4-1)/2*IF(F3="",0,VLOOKUP(F3,IsotopeData!$A$2:$K$21,6,FALSE))^2</f>
        <v>6.2339993324467277E-5</v>
      </c>
      <c r="G28">
        <f>G4*(G4-1)/2*IF(G3="",0,VLOOKUP(G3,IsotopeData!$A$2:$K$21,6,FALSE))^2</f>
        <v>0</v>
      </c>
      <c r="H28">
        <f>H4*(H4-1)/2*IF(H3="",0,VLOOKUP(H3,IsotopeData!$A$2:$K$21,6,FALSE))^2</f>
        <v>0</v>
      </c>
      <c r="I28">
        <f>I4*(I4-1)/2*IF(I3="",0,VLOOKUP(I3,IsotopeData!$A$2:$K$21,6,FALSE))^2</f>
        <v>0</v>
      </c>
      <c r="J28">
        <f>J4*(J4-1)/2*IF(J3="",0,VLOOKUP(J3,IsotopeData!$A$2:$K$21,6,FALSE))^2</f>
        <v>0</v>
      </c>
      <c r="K28">
        <f>K4*(K4-1)/2*IF(K3="",0,VLOOKUP(K3,IsotopeData!$A$2:$K$21,6,FALSE))^2</f>
        <v>0</v>
      </c>
      <c r="L28">
        <f>L4*(L4-1)/2*IF(L3="",0,VLOOKUP(L3,IsotopeData!$A$2:$K$21,6,FALSE))^2</f>
        <v>0</v>
      </c>
      <c r="M28">
        <f>M4*(M4-1)/2*IF(M3="",0,VLOOKUP(M3,IsotopeData!$A$2:$K$21,6,FALSE))^2</f>
        <v>0</v>
      </c>
      <c r="N28">
        <f>N4*(N4-1)/2*IF(N3="",0,VLOOKUP(N3,IsotopeData!$A$2:$K$21,6,FALSE))^2</f>
        <v>0</v>
      </c>
      <c r="O28">
        <f>O4*(O4-1)/2*IF(O3="",0,VLOOKUP(O3,IsotopeData!$A$2:$K$21,6,FALSE))^2</f>
        <v>0</v>
      </c>
      <c r="P28">
        <f>P4*(P4-1)/2*IF(P3="",0,VLOOKUP(P3,IsotopeData!$A$2:$K$21,6,FALSE))^2</f>
        <v>0</v>
      </c>
      <c r="Q28">
        <f>Q4*(Q4-1)/2*IF(Q3="",0,VLOOKUP(Q3,IsotopeData!$A$2:$K$21,6,FALSE))^2</f>
        <v>0</v>
      </c>
      <c r="R28">
        <f>R4*(R4-1)/2*IF(R3="",0,VLOOKUP(R3,IsotopeData!$A$2:$K$21,6,FALSE))^2</f>
        <v>0</v>
      </c>
      <c r="S28">
        <f>S4*(S4-1)/2*IF(S3="",0,VLOOKUP(S3,IsotopeData!$A$2:$K$21,6,FALSE))^2</f>
        <v>0</v>
      </c>
      <c r="T28">
        <f>T4*(T4-1)/2*IF(T3="",0,VLOOKUP(T3,IsotopeData!$A$2:$K$21,6,FALSE))^2</f>
        <v>0</v>
      </c>
      <c r="U28">
        <f>U4*(U4-1)/2*IF(U3="",0,VLOOKUP(U3,IsotopeData!$A$2:$K$21,6,FALSE))^2</f>
        <v>0</v>
      </c>
      <c r="V28">
        <f>V4*(V4-1)/2*IF(V3="",0,VLOOKUP(V3,IsotopeData!$A$2:$K$21,6,FALSE))^2</f>
        <v>0</v>
      </c>
      <c r="W28">
        <f>W4*(W4-1)/2*IF(W3="",0,VLOOKUP(W3,IsotopeData!$A$2:$K$21,6,FALSE))^2</f>
        <v>0</v>
      </c>
      <c r="X28">
        <f>X4*(X4-1)/2*IF(X3="",0,VLOOKUP(X3,IsotopeData!$A$2:$K$21,6,FALSE))^2</f>
        <v>0</v>
      </c>
      <c r="Y28">
        <f>Y4*(Y4-1)/2*IF(Y3="",0,VLOOKUP(Y3,IsotopeData!$A$2:$K$21,6,FALSE))^2</f>
        <v>0</v>
      </c>
      <c r="Z28">
        <f>Z4*(Z4-1)/2*IF(Z3="",0,VLOOKUP(Z3,IsotopeData!$A$2:$K$21,6,FALSE))^2</f>
        <v>0</v>
      </c>
      <c r="AA28">
        <f>AA4*(AA4-1)/2*IF(AA3="",0,VLOOKUP(AA3,IsotopeData!$A$2:$K$21,6,FALSE))^2</f>
        <v>0</v>
      </c>
    </row>
    <row r="29" spans="1:27" hidden="1" x14ac:dyDescent="0.45">
      <c r="A29" s="5" t="s">
        <v>47</v>
      </c>
      <c r="B29">
        <f>(B4*IF(B3="",0,VLOOKUP(B3,IsotopeData!$A$2:$K$21,6,FALSE)))^2</f>
        <v>2.1004924939856542</v>
      </c>
      <c r="C29">
        <f>(C4*IF(C3="",0,VLOOKUP(C3,IsotopeData!$A$2:$K$21,6,FALSE)))^2</f>
        <v>5.1859216934056675E-4</v>
      </c>
      <c r="D29">
        <f>(D4*IF(D3="",0,VLOOKUP(D3,IsotopeData!$A$2:$K$21,6,FALSE)))^2</f>
        <v>1.777528291369248E-4</v>
      </c>
      <c r="E29">
        <f>(E4*IF(E3="",0,VLOOKUP(E3,IsotopeData!$A$2:$K$21,6,FALSE)))^2</f>
        <v>1.046372366815102E-2</v>
      </c>
      <c r="F29">
        <f>(F4*IF(F3="",0,VLOOKUP(F3,IsotopeData!$A$2:$K$21,6,FALSE)))^2</f>
        <v>2.4935997329786911E-4</v>
      </c>
      <c r="G29">
        <f>(G4*IF(G3="",0,VLOOKUP(G3,IsotopeData!$A$2:$K$21,6,FALSE)))^2</f>
        <v>0</v>
      </c>
      <c r="H29">
        <f>(H4*IF(H3="",0,VLOOKUP(H3,IsotopeData!$A$2:$K$21,6,FALSE)))^2</f>
        <v>0</v>
      </c>
      <c r="I29">
        <f>(I4*IF(I3="",0,VLOOKUP(I3,IsotopeData!$A$2:$K$21,6,FALSE)))^2</f>
        <v>0</v>
      </c>
      <c r="J29">
        <f>(J4*IF(J3="",0,VLOOKUP(J3,IsotopeData!$A$2:$K$21,6,FALSE)))^2</f>
        <v>0</v>
      </c>
      <c r="K29">
        <f>(K4*IF(K3="",0,VLOOKUP(K3,IsotopeData!$A$2:$K$21,6,FALSE)))^2</f>
        <v>0</v>
      </c>
      <c r="L29">
        <f>(L4*IF(L3="",0,VLOOKUP(L3,IsotopeData!$A$2:$K$21,6,FALSE)))^2</f>
        <v>0</v>
      </c>
      <c r="M29">
        <f>(M4*IF(M3="",0,VLOOKUP(M3,IsotopeData!$A$2:$K$21,6,FALSE)))^2</f>
        <v>0</v>
      </c>
      <c r="N29">
        <f>(N4*IF(N3="",0,VLOOKUP(N3,IsotopeData!$A$2:$K$21,6,FALSE)))^2</f>
        <v>0</v>
      </c>
      <c r="O29">
        <f>(O4*IF(O3="",0,VLOOKUP(O3,IsotopeData!$A$2:$K$21,6,FALSE)))^2</f>
        <v>0</v>
      </c>
      <c r="P29">
        <f>(P4*IF(P3="",0,VLOOKUP(P3,IsotopeData!$A$2:$K$21,6,FALSE)))^2</f>
        <v>0</v>
      </c>
      <c r="Q29">
        <f>(Q4*IF(Q3="",0,VLOOKUP(Q3,IsotopeData!$A$2:$K$21,6,FALSE)))^2</f>
        <v>0</v>
      </c>
      <c r="R29">
        <f>(R4*IF(R3="",0,VLOOKUP(R3,IsotopeData!$A$2:$K$21,6,FALSE)))^2</f>
        <v>0</v>
      </c>
      <c r="S29">
        <f>(S4*IF(S3="",0,VLOOKUP(S3,IsotopeData!$A$2:$K$21,6,FALSE)))^2</f>
        <v>0</v>
      </c>
      <c r="T29">
        <f>(T4*IF(T3="",0,VLOOKUP(T3,IsotopeData!$A$2:$K$21,6,FALSE)))^2</f>
        <v>0</v>
      </c>
      <c r="U29">
        <f>(U4*IF(U3="",0,VLOOKUP(U3,IsotopeData!$A$2:$K$21,6,FALSE)))^2</f>
        <v>0</v>
      </c>
      <c r="V29">
        <f>(V4*IF(V3="",0,VLOOKUP(V3,IsotopeData!$A$2:$K$21,6,FALSE)))^2</f>
        <v>0</v>
      </c>
      <c r="W29">
        <f>(W4*IF(W3="",0,VLOOKUP(W3,IsotopeData!$A$2:$K$21,6,FALSE)))^2</f>
        <v>0</v>
      </c>
      <c r="X29">
        <f>(X4*IF(X3="",0,VLOOKUP(X3,IsotopeData!$A$2:$K$21,6,FALSE)))^2</f>
        <v>0</v>
      </c>
      <c r="Y29">
        <f>(Y4*IF(Y3="",0,VLOOKUP(Y3,IsotopeData!$A$2:$K$21,6,FALSE)))^2</f>
        <v>0</v>
      </c>
      <c r="Z29">
        <f>(Z4*IF(Z3="",0,VLOOKUP(Z3,IsotopeData!$A$2:$K$21,6,FALSE)))^2</f>
        <v>0</v>
      </c>
      <c r="AA29">
        <f>(AA4*IF(AA3="",0,VLOOKUP(AA3,IsotopeData!$A$2:$K$21,6,FALSE)))^2</f>
        <v>0</v>
      </c>
    </row>
    <row r="30" spans="1:27" hidden="1" x14ac:dyDescent="0.45">
      <c r="A30" s="5" t="s">
        <v>48</v>
      </c>
      <c r="B30">
        <f>B4*IF(B3="",0,VLOOKUP(B3,IsotopeData!$A$2:$K$21,2,FALSE))</f>
        <v>1608</v>
      </c>
      <c r="C30">
        <f>C4*IF(C3="",0,VLOOKUP(C3,IsotopeData!$A$2:$K$21,2,FALSE))</f>
        <v>199.54935638154001</v>
      </c>
      <c r="D30">
        <f>D4*IF(D3="",0,VLOOKUP(D3,IsotopeData!$A$2:$K$21,2,FALSE))</f>
        <v>559.82201168494998</v>
      </c>
      <c r="E30">
        <f>E4*IF(E3="",0,VLOOKUP(E3,IsotopeData!$A$2:$K$21,2,FALSE))</f>
        <v>392.08607212403996</v>
      </c>
      <c r="F30">
        <f>F4*IF(F3="",0,VLOOKUP(F3,IsotopeData!$A$2:$K$21,2,FALSE))</f>
        <v>63.944142348820002</v>
      </c>
      <c r="G30">
        <f>G4*IF(G3="",0,VLOOKUP(G3,IsotopeData!$A$2:$K$21,2,FALSE))</f>
        <v>0</v>
      </c>
      <c r="H30">
        <f>H4*IF(H3="",0,VLOOKUP(H3,IsotopeData!$A$2:$K$21,2,FALSE))</f>
        <v>0</v>
      </c>
      <c r="I30">
        <f>I4*IF(I3="",0,VLOOKUP(I3,IsotopeData!$A$2:$K$21,2,FALSE))</f>
        <v>0</v>
      </c>
      <c r="J30">
        <f>J4*IF(J3="",0,VLOOKUP(J3,IsotopeData!$A$2:$K$21,2,FALSE))</f>
        <v>0</v>
      </c>
      <c r="K30">
        <f>K4*IF(K3="",0,VLOOKUP(K3,IsotopeData!$A$2:$K$21,2,FALSE))</f>
        <v>0</v>
      </c>
      <c r="L30">
        <f>L4*IF(L3="",0,VLOOKUP(L3,IsotopeData!$A$2:$K$21,2,FALSE))</f>
        <v>0</v>
      </c>
      <c r="M30">
        <f>M4*IF(M3="",0,VLOOKUP(M3,IsotopeData!$A$2:$K$21,2,FALSE))</f>
        <v>0</v>
      </c>
      <c r="N30">
        <f>N4*IF(N3="",0,VLOOKUP(N3,IsotopeData!$A$2:$K$21,2,FALSE))</f>
        <v>0</v>
      </c>
      <c r="O30">
        <f>O4*IF(O3="",0,VLOOKUP(O3,IsotopeData!$A$2:$K$21,2,FALSE))</f>
        <v>0</v>
      </c>
      <c r="P30">
        <f>P4*IF(P3="",0,VLOOKUP(P3,IsotopeData!$A$2:$K$21,2,FALSE))</f>
        <v>0</v>
      </c>
      <c r="Q30">
        <f>Q4*IF(Q3="",0,VLOOKUP(Q3,IsotopeData!$A$2:$K$21,2,FALSE))</f>
        <v>0</v>
      </c>
      <c r="R30">
        <f>R4*IF(R3="",0,VLOOKUP(R3,IsotopeData!$A$2:$K$21,2,FALSE))</f>
        <v>0</v>
      </c>
      <c r="S30">
        <f>S4*IF(S3="",0,VLOOKUP(S3,IsotopeData!$A$2:$K$21,2,FALSE))</f>
        <v>0</v>
      </c>
      <c r="T30">
        <f>T4*IF(T3="",0,VLOOKUP(T3,IsotopeData!$A$2:$K$21,2,FALSE))</f>
        <v>0</v>
      </c>
      <c r="U30">
        <f>U4*IF(U3="",0,VLOOKUP(U3,IsotopeData!$A$2:$K$21,2,FALSE))</f>
        <v>0</v>
      </c>
      <c r="V30">
        <f>V4*IF(V3="",0,VLOOKUP(V3,IsotopeData!$A$2:$K$21,2,FALSE))</f>
        <v>0</v>
      </c>
      <c r="W30">
        <f>W4*IF(W3="",0,VLOOKUP(W3,IsotopeData!$A$2:$K$21,2,FALSE))</f>
        <v>0</v>
      </c>
      <c r="X30">
        <f>X4*IF(X3="",0,VLOOKUP(X3,IsotopeData!$A$2:$K$21,2,FALSE))</f>
        <v>0</v>
      </c>
      <c r="Y30">
        <f>Y4*IF(Y3="",0,VLOOKUP(Y3,IsotopeData!$A$2:$K$21,2,FALSE))</f>
        <v>0</v>
      </c>
      <c r="Z30">
        <f>Z4*IF(Z3="",0,VLOOKUP(Z3,IsotopeData!$A$2:$K$21,2,FALSE))</f>
        <v>0</v>
      </c>
      <c r="AA30">
        <f>AA4*IF(AA3="",0,VLOOKUP(AA3,IsotopeData!$A$2:$K$21,2,FALSE))</f>
        <v>0</v>
      </c>
    </row>
    <row r="31" spans="1:27" hidden="1" x14ac:dyDescent="0.45">
      <c r="A31" s="5" t="s">
        <v>49</v>
      </c>
      <c r="B31">
        <f>B4*IF(B3="",0,VLOOKUP(B3,IsotopeData!$A$2:$K$21,6,FALSE))*IF(B3="",0,VLOOKUP(B3,IsotopeData!$A$2:$K$21,7,FALSE))</f>
        <v>1.4541697791603827</v>
      </c>
      <c r="C31">
        <f>C4*IF(C3="",0,VLOOKUP(C3,IsotopeData!$A$2:$K$21,6,FALSE))*IF(C3="",0,VLOOKUP(C3,IsotopeData!$A$2:$K$21,7,FALSE))</f>
        <v>2.2915556792946483E-2</v>
      </c>
      <c r="D31">
        <f>D4*IF(D3="",0,VLOOKUP(D3,IsotopeData!$A$2:$K$21,6,FALSE))*IF(D3="",0,VLOOKUP(D3,IsotopeData!$A$2:$K$21,7,FALSE))</f>
        <v>1.3388622273293094E-2</v>
      </c>
      <c r="E31">
        <f>E4*IF(E3="",0,VLOOKUP(E3,IsotopeData!$A$2:$K$21,6,FALSE))*IF(E3="",0,VLOOKUP(E3,IsotopeData!$A$2:$K$21,7,FALSE))</f>
        <v>0.10198903653533273</v>
      </c>
      <c r="F31">
        <f>F4*IF(F3="",0,VLOOKUP(F3,IsotopeData!$A$2:$K$21,6,FALSE))*IF(F3="",0,VLOOKUP(F3,IsotopeData!$A$2:$K$21,7,FALSE))</f>
        <v>1.5781467558532505E-2</v>
      </c>
      <c r="G31">
        <f>G4*IF(G3="",0,VLOOKUP(G3,IsotopeData!$A$2:$K$21,6,FALSE))*IF(G3="",0,VLOOKUP(G3,IsotopeData!$A$2:$K$21,7,FALSE))</f>
        <v>0</v>
      </c>
      <c r="H31">
        <f>H4*IF(H3="",0,VLOOKUP(H3,IsotopeData!$A$2:$K$21,6,FALSE))*IF(H3="",0,VLOOKUP(H3,IsotopeData!$A$2:$K$21,7,FALSE))</f>
        <v>0</v>
      </c>
      <c r="I31">
        <f>I4*IF(I3="",0,VLOOKUP(I3,IsotopeData!$A$2:$K$21,6,FALSE))*IF(I3="",0,VLOOKUP(I3,IsotopeData!$A$2:$K$21,7,FALSE))</f>
        <v>0</v>
      </c>
      <c r="J31">
        <f>J4*IF(J3="",0,VLOOKUP(J3,IsotopeData!$A$2:$K$21,6,FALSE))*IF(J3="",0,VLOOKUP(J3,IsotopeData!$A$2:$K$21,7,FALSE))</f>
        <v>0</v>
      </c>
      <c r="K31">
        <f>K4*IF(K3="",0,VLOOKUP(K3,IsotopeData!$A$2:$K$21,6,FALSE))*IF(K3="",0,VLOOKUP(K3,IsotopeData!$A$2:$K$21,7,FALSE))</f>
        <v>0</v>
      </c>
      <c r="L31">
        <f>L4*IF(L3="",0,VLOOKUP(L3,IsotopeData!$A$2:$K$21,6,FALSE))*IF(L3="",0,VLOOKUP(L3,IsotopeData!$A$2:$K$21,7,FALSE))</f>
        <v>0</v>
      </c>
      <c r="M31">
        <f>M4*IF(M3="",0,VLOOKUP(M3,IsotopeData!$A$2:$K$21,6,FALSE))*IF(M3="",0,VLOOKUP(M3,IsotopeData!$A$2:$K$21,7,FALSE))</f>
        <v>0</v>
      </c>
      <c r="N31">
        <f>N4*IF(N3="",0,VLOOKUP(N3,IsotopeData!$A$2:$K$21,6,FALSE))*IF(N3="",0,VLOOKUP(N3,IsotopeData!$A$2:$K$21,7,FALSE))</f>
        <v>0</v>
      </c>
      <c r="O31">
        <f>O4*IF(O3="",0,VLOOKUP(O3,IsotopeData!$A$2:$K$21,6,FALSE))*IF(O3="",0,VLOOKUP(O3,IsotopeData!$A$2:$K$21,7,FALSE))</f>
        <v>0</v>
      </c>
      <c r="P31">
        <f>P4*IF(P3="",0,VLOOKUP(P3,IsotopeData!$A$2:$K$21,6,FALSE))*IF(P3="",0,VLOOKUP(P3,IsotopeData!$A$2:$K$21,7,FALSE))</f>
        <v>0</v>
      </c>
      <c r="Q31">
        <f>Q4*IF(Q3="",0,VLOOKUP(Q3,IsotopeData!$A$2:$K$21,6,FALSE))*IF(Q3="",0,VLOOKUP(Q3,IsotopeData!$A$2:$K$21,7,FALSE))</f>
        <v>0</v>
      </c>
      <c r="R31">
        <f>R4*IF(R3="",0,VLOOKUP(R3,IsotopeData!$A$2:$K$21,6,FALSE))*IF(R3="",0,VLOOKUP(R3,IsotopeData!$A$2:$K$21,7,FALSE))</f>
        <v>0</v>
      </c>
      <c r="S31">
        <f>S4*IF(S3="",0,VLOOKUP(S3,IsotopeData!$A$2:$K$21,6,FALSE))*IF(S3="",0,VLOOKUP(S3,IsotopeData!$A$2:$K$21,7,FALSE))</f>
        <v>0</v>
      </c>
      <c r="T31">
        <f>T4*IF(T3="",0,VLOOKUP(T3,IsotopeData!$A$2:$K$21,6,FALSE))*IF(T3="",0,VLOOKUP(T3,IsotopeData!$A$2:$K$21,7,FALSE))</f>
        <v>0</v>
      </c>
      <c r="U31">
        <f>U4*IF(U3="",0,VLOOKUP(U3,IsotopeData!$A$2:$K$21,6,FALSE))*IF(U3="",0,VLOOKUP(U3,IsotopeData!$A$2:$K$21,7,FALSE))</f>
        <v>0</v>
      </c>
      <c r="V31">
        <f>V4*IF(V3="",0,VLOOKUP(V3,IsotopeData!$A$2:$K$21,6,FALSE))*IF(V3="",0,VLOOKUP(V3,IsotopeData!$A$2:$K$21,7,FALSE))</f>
        <v>0</v>
      </c>
      <c r="W31">
        <f>W4*IF(W3="",0,VLOOKUP(W3,IsotopeData!$A$2:$K$21,6,FALSE))*IF(W3="",0,VLOOKUP(W3,IsotopeData!$A$2:$K$21,7,FALSE))</f>
        <v>0</v>
      </c>
      <c r="X31">
        <f>X4*IF(X3="",0,VLOOKUP(X3,IsotopeData!$A$2:$K$21,6,FALSE))*IF(X3="",0,VLOOKUP(X3,IsotopeData!$A$2:$K$21,7,FALSE))</f>
        <v>0</v>
      </c>
      <c r="Y31">
        <f>Y4*IF(Y3="",0,VLOOKUP(Y3,IsotopeData!$A$2:$K$21,6,FALSE))*IF(Y3="",0,VLOOKUP(Y3,IsotopeData!$A$2:$K$21,7,FALSE))</f>
        <v>0</v>
      </c>
      <c r="Z31">
        <f>Z4*IF(Z3="",0,VLOOKUP(Z3,IsotopeData!$A$2:$K$21,6,FALSE))*IF(Z3="",0,VLOOKUP(Z3,IsotopeData!$A$2:$K$21,7,FALSE))</f>
        <v>0</v>
      </c>
      <c r="AA31">
        <f>AA4*IF(AA3="",0,VLOOKUP(AA3,IsotopeData!$A$2:$K$21,6,FALSE))*IF(AA3="",0,VLOOKUP(AA3,IsotopeData!$A$2:$K$21,7,FALSE))</f>
        <v>0</v>
      </c>
    </row>
    <row r="32" spans="1:27" hidden="1" x14ac:dyDescent="0.45">
      <c r="A32" s="5" t="s">
        <v>50</v>
      </c>
      <c r="B32">
        <f>B4*IF(B3="",0,VLOOKUP(B3,IsotopeData!$A$2:$K$21,10,FALSE))*IF(B3="",0,VLOOKUP(B3,IsotopeData!$A$2:$K$21,11,FALSE))</f>
        <v>0</v>
      </c>
      <c r="C32">
        <f>C4*IF(C3="",0,VLOOKUP(C3,IsotopeData!$A$2:$K$21,10,FALSE))*IF(C3="",0,VLOOKUP(C3,IsotopeData!$A$2:$K$21,11,FALSE))</f>
        <v>0</v>
      </c>
      <c r="D32">
        <f>D4*IF(D3="",0,VLOOKUP(D3,IsotopeData!$A$2:$K$21,10,FALSE))*IF(D3="",0,VLOOKUP(D3,IsotopeData!$A$2:$K$21,11,FALSE))</f>
        <v>0.14415487461386928</v>
      </c>
      <c r="E32">
        <f>E4*IF(E3="",0,VLOOKUP(E3,IsotopeData!$A$2:$K$21,10,FALSE))*IF(E3="",0,VLOOKUP(E3,IsotopeData!$A$2:$K$21,11,FALSE))</f>
        <v>0</v>
      </c>
      <c r="F32">
        <f>F4*IF(F3="",0,VLOOKUP(F3,IsotopeData!$A$2:$K$21,10,FALSE))*IF(F3="",0,VLOOKUP(F3,IsotopeData!$A$2:$K$21,11,FALSE))</f>
        <v>0.17859000439535719</v>
      </c>
      <c r="G32">
        <f>G4*IF(G3="",0,VLOOKUP(G3,IsotopeData!$A$2:$K$21,10,FALSE))*IF(G3="",0,VLOOKUP(G3,IsotopeData!$A$2:$K$21,11,FALSE))</f>
        <v>0</v>
      </c>
      <c r="H32">
        <f>H4*IF(H3="",0,VLOOKUP(H3,IsotopeData!$A$2:$K$21,10,FALSE))*IF(H3="",0,VLOOKUP(H3,IsotopeData!$A$2:$K$21,11,FALSE))</f>
        <v>0</v>
      </c>
      <c r="I32">
        <f>I4*IF(I3="",0,VLOOKUP(I3,IsotopeData!$A$2:$K$21,10,FALSE))*IF(I3="",0,VLOOKUP(I3,IsotopeData!$A$2:$K$21,11,FALSE))</f>
        <v>0</v>
      </c>
      <c r="J32">
        <f>J4*IF(J3="",0,VLOOKUP(J3,IsotopeData!$A$2:$K$21,10,FALSE))*IF(J3="",0,VLOOKUP(J3,IsotopeData!$A$2:$K$21,11,FALSE))</f>
        <v>0</v>
      </c>
      <c r="K32">
        <f>K4*IF(K3="",0,VLOOKUP(K3,IsotopeData!$A$2:$K$21,10,FALSE))*IF(K3="",0,VLOOKUP(K3,IsotopeData!$A$2:$K$21,11,FALSE))</f>
        <v>0</v>
      </c>
      <c r="L32">
        <f>L4*IF(L3="",0,VLOOKUP(L3,IsotopeData!$A$2:$K$21,10,FALSE))*IF(L3="",0,VLOOKUP(L3,IsotopeData!$A$2:$K$21,11,FALSE))</f>
        <v>0</v>
      </c>
      <c r="M32">
        <f>M4*IF(M3="",0,VLOOKUP(M3,IsotopeData!$A$2:$K$21,10,FALSE))*IF(M3="",0,VLOOKUP(M3,IsotopeData!$A$2:$K$21,11,FALSE))</f>
        <v>0</v>
      </c>
      <c r="N32">
        <f>N4*IF(N3="",0,VLOOKUP(N3,IsotopeData!$A$2:$K$21,10,FALSE))*IF(N3="",0,VLOOKUP(N3,IsotopeData!$A$2:$K$21,11,FALSE))</f>
        <v>0</v>
      </c>
      <c r="O32">
        <f>O4*IF(O3="",0,VLOOKUP(O3,IsotopeData!$A$2:$K$21,10,FALSE))*IF(O3="",0,VLOOKUP(O3,IsotopeData!$A$2:$K$21,11,FALSE))</f>
        <v>0</v>
      </c>
      <c r="P32">
        <f>P4*IF(P3="",0,VLOOKUP(P3,IsotopeData!$A$2:$K$21,10,FALSE))*IF(P3="",0,VLOOKUP(P3,IsotopeData!$A$2:$K$21,11,FALSE))</f>
        <v>0</v>
      </c>
      <c r="Q32">
        <f>Q4*IF(Q3="",0,VLOOKUP(Q3,IsotopeData!$A$2:$K$21,10,FALSE))*IF(Q3="",0,VLOOKUP(Q3,IsotopeData!$A$2:$K$21,11,FALSE))</f>
        <v>0</v>
      </c>
      <c r="R32">
        <f>R4*IF(R3="",0,VLOOKUP(R3,IsotopeData!$A$2:$K$21,10,FALSE))*IF(R3="",0,VLOOKUP(R3,IsotopeData!$A$2:$K$21,11,FALSE))</f>
        <v>0</v>
      </c>
      <c r="S32">
        <f>S4*IF(S3="",0,VLOOKUP(S3,IsotopeData!$A$2:$K$21,10,FALSE))*IF(S3="",0,VLOOKUP(S3,IsotopeData!$A$2:$K$21,11,FALSE))</f>
        <v>0</v>
      </c>
      <c r="T32">
        <f>T4*IF(T3="",0,VLOOKUP(T3,IsotopeData!$A$2:$K$21,10,FALSE))*IF(T3="",0,VLOOKUP(T3,IsotopeData!$A$2:$K$21,11,FALSE))</f>
        <v>0</v>
      </c>
      <c r="U32">
        <f>U4*IF(U3="",0,VLOOKUP(U3,IsotopeData!$A$2:$K$21,10,FALSE))*IF(U3="",0,VLOOKUP(U3,IsotopeData!$A$2:$K$21,11,FALSE))</f>
        <v>0</v>
      </c>
      <c r="V32">
        <f>V4*IF(V3="",0,VLOOKUP(V3,IsotopeData!$A$2:$K$21,10,FALSE))*IF(V3="",0,VLOOKUP(V3,IsotopeData!$A$2:$K$21,11,FALSE))</f>
        <v>0</v>
      </c>
      <c r="W32">
        <f>W4*IF(W3="",0,VLOOKUP(W3,IsotopeData!$A$2:$K$21,10,FALSE))*IF(W3="",0,VLOOKUP(W3,IsotopeData!$A$2:$K$21,11,FALSE))</f>
        <v>0</v>
      </c>
      <c r="X32">
        <f>X4*IF(X3="",0,VLOOKUP(X3,IsotopeData!$A$2:$K$21,10,FALSE))*IF(X3="",0,VLOOKUP(X3,IsotopeData!$A$2:$K$21,11,FALSE))</f>
        <v>0</v>
      </c>
      <c r="Y32">
        <f>Y4*IF(Y3="",0,VLOOKUP(Y3,IsotopeData!$A$2:$K$21,10,FALSE))*IF(Y3="",0,VLOOKUP(Y3,IsotopeData!$A$2:$K$21,11,FALSE))</f>
        <v>0</v>
      </c>
      <c r="Z32">
        <f>Z4*IF(Z3="",0,VLOOKUP(Z3,IsotopeData!$A$2:$K$21,10,FALSE))*IF(Z3="",0,VLOOKUP(Z3,IsotopeData!$A$2:$K$21,11,FALSE))</f>
        <v>0</v>
      </c>
      <c r="AA32">
        <f>AA4*IF(AA3="",0,VLOOKUP(AA3,IsotopeData!$A$2:$K$21,10,FALSE))*IF(AA3="",0,VLOOKUP(AA3,IsotopeData!$A$2:$K$21,11,FALSE))</f>
        <v>0</v>
      </c>
    </row>
    <row r="33" spans="1:27" hidden="1" x14ac:dyDescent="0.45">
      <c r="A33" s="5" t="s">
        <v>51</v>
      </c>
      <c r="B33">
        <f>B4*(B4-1)*IF(B3="",0,VLOOKUP(B3,IsotopeData!$A$2:$K$21,6,FALSE))^2*IF(B3="",0,VLOOKUP(B3,IsotopeData!$A$2:$K$21,7,FALSE))</f>
        <v>2.0918113946458505</v>
      </c>
      <c r="C33">
        <f>C4*(C4-1)*IF(C3="",0,VLOOKUP(C3,IsotopeData!$A$2:$K$21,6,FALSE))^2*IF(C3="",0,VLOOKUP(C3,IsotopeData!$A$2:$K$21,7,FALSE))</f>
        <v>5.1921164848377818E-4</v>
      </c>
      <c r="D33">
        <f>D4*(D4-1)*IF(D3="",0,VLOOKUP(D3,IsotopeData!$A$2:$K$21,6,FALSE))^2*IF(D3="",0,VLOOKUP(D3,IsotopeData!$A$2:$K$21,7,FALSE))</f>
        <v>1.7340236752403022E-4</v>
      </c>
      <c r="E33">
        <f>E4*(E4-1)*IF(E3="",0,VLOOKUP(E3,IsotopeData!$A$2:$K$21,6,FALSE))^2*IF(E3="",0,VLOOKUP(E3,IsotopeData!$A$2:$K$21,7,FALSE))</f>
        <v>1.0060101279349332E-2</v>
      </c>
      <c r="F33">
        <f>F4*(F4-1)*IF(F3="",0,VLOOKUP(F3,IsotopeData!$A$2:$K$21,6,FALSE))^2*IF(F3="",0,VLOOKUP(F3,IsotopeData!$A$2:$K$21,7,FALSE))</f>
        <v>1.2460364953047036E-4</v>
      </c>
      <c r="G33">
        <f>G4*(G4-1)*IF(G3="",0,VLOOKUP(G3,IsotopeData!$A$2:$K$21,6,FALSE))^2*IF(G3="",0,VLOOKUP(G3,IsotopeData!$A$2:$K$21,7,FALSE))</f>
        <v>0</v>
      </c>
      <c r="H33">
        <f>H4*(H4-1)*IF(H3="",0,VLOOKUP(H3,IsotopeData!$A$2:$K$21,6,FALSE))^2*IF(H3="",0,VLOOKUP(H3,IsotopeData!$A$2:$K$21,7,FALSE))</f>
        <v>0</v>
      </c>
      <c r="I33">
        <f>I4*(I4-1)*IF(I3="",0,VLOOKUP(I3,IsotopeData!$A$2:$K$21,6,FALSE))^2*IF(I3="",0,VLOOKUP(I3,IsotopeData!$A$2:$K$21,7,FALSE))</f>
        <v>0</v>
      </c>
      <c r="J33">
        <f>J4*(J4-1)*IF(J3="",0,VLOOKUP(J3,IsotopeData!$A$2:$K$21,6,FALSE))^2*IF(J3="",0,VLOOKUP(J3,IsotopeData!$A$2:$K$21,7,FALSE))</f>
        <v>0</v>
      </c>
      <c r="K33">
        <f>K4*(K4-1)*IF(K3="",0,VLOOKUP(K3,IsotopeData!$A$2:$K$21,6,FALSE))^2*IF(K3="",0,VLOOKUP(K3,IsotopeData!$A$2:$K$21,7,FALSE))</f>
        <v>0</v>
      </c>
      <c r="L33">
        <f>L4*(L4-1)*IF(L3="",0,VLOOKUP(L3,IsotopeData!$A$2:$K$21,6,FALSE))^2*IF(L3="",0,VLOOKUP(L3,IsotopeData!$A$2:$K$21,7,FALSE))</f>
        <v>0</v>
      </c>
      <c r="M33">
        <f>M4*(M4-1)*IF(M3="",0,VLOOKUP(M3,IsotopeData!$A$2:$K$21,6,FALSE))^2*IF(M3="",0,VLOOKUP(M3,IsotopeData!$A$2:$K$21,7,FALSE))</f>
        <v>0</v>
      </c>
      <c r="N33">
        <f>N4*(N4-1)*IF(N3="",0,VLOOKUP(N3,IsotopeData!$A$2:$K$21,6,FALSE))^2*IF(N3="",0,VLOOKUP(N3,IsotopeData!$A$2:$K$21,7,FALSE))</f>
        <v>0</v>
      </c>
      <c r="O33">
        <f>O4*(O4-1)*IF(O3="",0,VLOOKUP(O3,IsotopeData!$A$2:$K$21,6,FALSE))^2*IF(O3="",0,VLOOKUP(O3,IsotopeData!$A$2:$K$21,7,FALSE))</f>
        <v>0</v>
      </c>
      <c r="P33">
        <f>P4*(P4-1)*IF(P3="",0,VLOOKUP(P3,IsotopeData!$A$2:$K$21,6,FALSE))^2*IF(P3="",0,VLOOKUP(P3,IsotopeData!$A$2:$K$21,7,FALSE))</f>
        <v>0</v>
      </c>
      <c r="Q33">
        <f>Q4*(Q4-1)*IF(Q3="",0,VLOOKUP(Q3,IsotopeData!$A$2:$K$21,6,FALSE))^2*IF(Q3="",0,VLOOKUP(Q3,IsotopeData!$A$2:$K$21,7,FALSE))</f>
        <v>0</v>
      </c>
      <c r="R33">
        <f>R4*(R4-1)*IF(R3="",0,VLOOKUP(R3,IsotopeData!$A$2:$K$21,6,FALSE))^2*IF(R3="",0,VLOOKUP(R3,IsotopeData!$A$2:$K$21,7,FALSE))</f>
        <v>0</v>
      </c>
      <c r="S33">
        <f>S4*(S4-1)*IF(S3="",0,VLOOKUP(S3,IsotopeData!$A$2:$K$21,6,FALSE))^2*IF(S3="",0,VLOOKUP(S3,IsotopeData!$A$2:$K$21,7,FALSE))</f>
        <v>0</v>
      </c>
      <c r="T33">
        <f>T4*(T4-1)*IF(T3="",0,VLOOKUP(T3,IsotopeData!$A$2:$K$21,6,FALSE))^2*IF(T3="",0,VLOOKUP(T3,IsotopeData!$A$2:$K$21,7,FALSE))</f>
        <v>0</v>
      </c>
      <c r="U33">
        <f>U4*(U4-1)*IF(U3="",0,VLOOKUP(U3,IsotopeData!$A$2:$K$21,6,FALSE))^2*IF(U3="",0,VLOOKUP(U3,IsotopeData!$A$2:$K$21,7,FALSE))</f>
        <v>0</v>
      </c>
      <c r="V33">
        <f>V4*(V4-1)*IF(V3="",0,VLOOKUP(V3,IsotopeData!$A$2:$K$21,6,FALSE))^2*IF(V3="",0,VLOOKUP(V3,IsotopeData!$A$2:$K$21,7,FALSE))</f>
        <v>0</v>
      </c>
      <c r="W33">
        <f>W4*(W4-1)*IF(W3="",0,VLOOKUP(W3,IsotopeData!$A$2:$K$21,6,FALSE))^2*IF(W3="",0,VLOOKUP(W3,IsotopeData!$A$2:$K$21,7,FALSE))</f>
        <v>0</v>
      </c>
      <c r="X33">
        <f>X4*(X4-1)*IF(X3="",0,VLOOKUP(X3,IsotopeData!$A$2:$K$21,6,FALSE))^2*IF(X3="",0,VLOOKUP(X3,IsotopeData!$A$2:$K$21,7,FALSE))</f>
        <v>0</v>
      </c>
      <c r="Y33">
        <f>Y4*(Y4-1)*IF(Y3="",0,VLOOKUP(Y3,IsotopeData!$A$2:$K$21,6,FALSE))^2*IF(Y3="",0,VLOOKUP(Y3,IsotopeData!$A$2:$K$21,7,FALSE))</f>
        <v>0</v>
      </c>
      <c r="Z33">
        <f>Z4*(Z4-1)*IF(Z3="",0,VLOOKUP(Z3,IsotopeData!$A$2:$K$21,6,FALSE))^2*IF(Z3="",0,VLOOKUP(Z3,IsotopeData!$A$2:$K$21,7,FALSE))</f>
        <v>0</v>
      </c>
      <c r="AA33">
        <f>AA4*(AA4-1)*IF(AA3="",0,VLOOKUP(AA3,IsotopeData!$A$2:$K$21,6,FALSE))^2*IF(AA3="",0,VLOOKUP(AA3,IsotopeData!$A$2:$K$21,7,FALSE))</f>
        <v>0</v>
      </c>
    </row>
    <row r="34" spans="1:27" hidden="1" x14ac:dyDescent="0.45">
      <c r="A34" s="5" t="s">
        <v>52</v>
      </c>
      <c r="B34">
        <f>(B4*IF(B3="",0,VLOOKUP(B3,IsotopeData!$A$2:$K$21,6,FALSE)))^2*IF(B3="",0,VLOOKUP(B3,IsotopeData!$A$2:$K$21,7,FALSE))</f>
        <v>2.1075392998687512</v>
      </c>
      <c r="C34">
        <f>(C4*IF(C3="",0,VLOOKUP(C3,IsotopeData!$A$2:$K$21,6,FALSE)))^2*IF(C3="",0,VLOOKUP(C3,IsotopeData!$A$2:$K$21,7,FALSE))</f>
        <v>5.2184724060806134E-4</v>
      </c>
      <c r="D34">
        <f>(D4*IF(D3="",0,VLOOKUP(D3,IsotopeData!$A$2:$K$21,6,FALSE)))^2*IF(D3="",0,VLOOKUP(D3,IsotopeData!$A$2:$K$21,7,FALSE))</f>
        <v>1.7850243715708994E-4</v>
      </c>
      <c r="E34">
        <f>(E4*IF(E3="",0,VLOOKUP(E3,IsotopeData!$A$2:$K$21,6,FALSE)))^2*IF(E3="",0,VLOOKUP(E3,IsotopeData!$A$2:$K$21,7,FALSE))</f>
        <v>1.0432697623028933E-2</v>
      </c>
      <c r="F34">
        <f>(F4*IF(F3="",0,VLOOKUP(F3,IsotopeData!$A$2:$K$21,6,FALSE)))^2*IF(F3="",0,VLOOKUP(F3,IsotopeData!$A$2:$K$21,7,FALSE))</f>
        <v>2.4920729906094071E-4</v>
      </c>
      <c r="G34">
        <f>(G4*IF(G3="",0,VLOOKUP(G3,IsotopeData!$A$2:$K$21,6,FALSE)))^2*IF(G3="",0,VLOOKUP(G3,IsotopeData!$A$2:$K$21,7,FALSE))</f>
        <v>0</v>
      </c>
      <c r="H34">
        <f>(H4*IF(H3="",0,VLOOKUP(H3,IsotopeData!$A$2:$K$21,6,FALSE)))^2*IF(H3="",0,VLOOKUP(H3,IsotopeData!$A$2:$K$21,7,FALSE))</f>
        <v>0</v>
      </c>
      <c r="I34">
        <f>(I4*IF(I3="",0,VLOOKUP(I3,IsotopeData!$A$2:$K$21,6,FALSE)))^2*IF(I3="",0,VLOOKUP(I3,IsotopeData!$A$2:$K$21,7,FALSE))</f>
        <v>0</v>
      </c>
      <c r="J34">
        <f>(J4*IF(J3="",0,VLOOKUP(J3,IsotopeData!$A$2:$K$21,6,FALSE)))^2*IF(J3="",0,VLOOKUP(J3,IsotopeData!$A$2:$K$21,7,FALSE))</f>
        <v>0</v>
      </c>
      <c r="K34">
        <f>(K4*IF(K3="",0,VLOOKUP(K3,IsotopeData!$A$2:$K$21,6,FALSE)))^2*IF(K3="",0,VLOOKUP(K3,IsotopeData!$A$2:$K$21,7,FALSE))</f>
        <v>0</v>
      </c>
      <c r="L34">
        <f>(L4*IF(L3="",0,VLOOKUP(L3,IsotopeData!$A$2:$K$21,6,FALSE)))^2*IF(L3="",0,VLOOKUP(L3,IsotopeData!$A$2:$K$21,7,FALSE))</f>
        <v>0</v>
      </c>
      <c r="M34">
        <f>(M4*IF(M3="",0,VLOOKUP(M3,IsotopeData!$A$2:$K$21,6,FALSE)))^2*IF(M3="",0,VLOOKUP(M3,IsotopeData!$A$2:$K$21,7,FALSE))</f>
        <v>0</v>
      </c>
      <c r="N34">
        <f>(N4*IF(N3="",0,VLOOKUP(N3,IsotopeData!$A$2:$K$21,6,FALSE)))^2*IF(N3="",0,VLOOKUP(N3,IsotopeData!$A$2:$K$21,7,FALSE))</f>
        <v>0</v>
      </c>
      <c r="O34">
        <f>(O4*IF(O3="",0,VLOOKUP(O3,IsotopeData!$A$2:$K$21,6,FALSE)))^2*IF(O3="",0,VLOOKUP(O3,IsotopeData!$A$2:$K$21,7,FALSE))</f>
        <v>0</v>
      </c>
      <c r="P34">
        <f>(P4*IF(P3="",0,VLOOKUP(P3,IsotopeData!$A$2:$K$21,6,FALSE)))^2*IF(P3="",0,VLOOKUP(P3,IsotopeData!$A$2:$K$21,7,FALSE))</f>
        <v>0</v>
      </c>
      <c r="Q34">
        <f>(Q4*IF(Q3="",0,VLOOKUP(Q3,IsotopeData!$A$2:$K$21,6,FALSE)))^2*IF(Q3="",0,VLOOKUP(Q3,IsotopeData!$A$2:$K$21,7,FALSE))</f>
        <v>0</v>
      </c>
      <c r="R34">
        <f>(R4*IF(R3="",0,VLOOKUP(R3,IsotopeData!$A$2:$K$21,6,FALSE)))^2*IF(R3="",0,VLOOKUP(R3,IsotopeData!$A$2:$K$21,7,FALSE))</f>
        <v>0</v>
      </c>
      <c r="S34">
        <f>(S4*IF(S3="",0,VLOOKUP(S3,IsotopeData!$A$2:$K$21,6,FALSE)))^2*IF(S3="",0,VLOOKUP(S3,IsotopeData!$A$2:$K$21,7,FALSE))</f>
        <v>0</v>
      </c>
      <c r="T34">
        <f>(T4*IF(T3="",0,VLOOKUP(T3,IsotopeData!$A$2:$K$21,6,FALSE)))^2*IF(T3="",0,VLOOKUP(T3,IsotopeData!$A$2:$K$21,7,FALSE))</f>
        <v>0</v>
      </c>
      <c r="U34">
        <f>(U4*IF(U3="",0,VLOOKUP(U3,IsotopeData!$A$2:$K$21,6,FALSE)))^2*IF(U3="",0,VLOOKUP(U3,IsotopeData!$A$2:$K$21,7,FALSE))</f>
        <v>0</v>
      </c>
      <c r="V34">
        <f>(V4*IF(V3="",0,VLOOKUP(V3,IsotopeData!$A$2:$K$21,6,FALSE)))^2*IF(V3="",0,VLOOKUP(V3,IsotopeData!$A$2:$K$21,7,FALSE))</f>
        <v>0</v>
      </c>
      <c r="W34">
        <f>(W4*IF(W3="",0,VLOOKUP(W3,IsotopeData!$A$2:$K$21,6,FALSE)))^2*IF(W3="",0,VLOOKUP(W3,IsotopeData!$A$2:$K$21,7,FALSE))</f>
        <v>0</v>
      </c>
      <c r="X34">
        <f>(X4*IF(X3="",0,VLOOKUP(X3,IsotopeData!$A$2:$K$21,6,FALSE)))^2*IF(X3="",0,VLOOKUP(X3,IsotopeData!$A$2:$K$21,7,FALSE))</f>
        <v>0</v>
      </c>
      <c r="Y34">
        <f>(Y4*IF(Y3="",0,VLOOKUP(Y3,IsotopeData!$A$2:$K$21,6,FALSE)))^2*IF(Y3="",0,VLOOKUP(Y3,IsotopeData!$A$2:$K$21,7,FALSE))</f>
        <v>0</v>
      </c>
      <c r="Z34">
        <f>(Z4*IF(Z3="",0,VLOOKUP(Z3,IsotopeData!$A$2:$K$21,6,FALSE)))^2*IF(Z3="",0,VLOOKUP(Z3,IsotopeData!$A$2:$K$21,7,FALSE))</f>
        <v>0</v>
      </c>
      <c r="AA34">
        <f>(AA4*IF(AA3="",0,VLOOKUP(AA3,IsotopeData!$A$2:$K$21,6,FALSE)))^2*IF(AA3="",0,VLOOKUP(AA3,IsotopeData!$A$2:$K$21,7,FALSE))</f>
        <v>0</v>
      </c>
    </row>
    <row r="35" spans="1:27" hidden="1" x14ac:dyDescent="0.45"/>
    <row r="36" spans="1:27" hidden="1" x14ac:dyDescent="0.45">
      <c r="A36" s="14" t="s">
        <v>53</v>
      </c>
    </row>
    <row r="37" spans="1:27" hidden="1" x14ac:dyDescent="0.45">
      <c r="A37" s="15" t="s">
        <v>54</v>
      </c>
    </row>
    <row r="38" spans="1:27" hidden="1" x14ac:dyDescent="0.45">
      <c r="A38" s="15" t="s">
        <v>55</v>
      </c>
    </row>
    <row r="39" spans="1:27" hidden="1" x14ac:dyDescent="0.45">
      <c r="A39" s="15" t="s">
        <v>56</v>
      </c>
    </row>
    <row r="40" spans="1:27" hidden="1" x14ac:dyDescent="0.45">
      <c r="A40" s="15" t="s">
        <v>57</v>
      </c>
    </row>
  </sheetData>
  <mergeCells count="1">
    <mergeCell ref="A1:AB1"/>
  </mergeCells>
  <phoneticPr fontId="11" type="noConversion"/>
  <dataValidations count="1">
    <dataValidation type="list" allowBlank="1" errorTitle="无效输入" error="请选择有效元素" sqref="B3 C3 D3 E3 F3 G3 H3 I3 J3 K3 L3 M3 N3 O3 P3 Q3 R3 S3 T3 U3 V3 W3 X3 Y3 Z3 AA3" xr:uid="{00000000-0002-0000-0100-000000000000}">
      <formula1>"H,C,N,O,F,Si,P,S,Cl,Br,I,Na,Mg,Al,K,Ca,Fe,Cu,Zn"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IsotopeData</vt:lpstr>
      <vt:lpstr>Calculator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liu dongyu</cp:lastModifiedBy>
  <dcterms:created xsi:type="dcterms:W3CDTF">2026-06-16T14:09:48Z</dcterms:created>
  <dcterms:modified xsi:type="dcterms:W3CDTF">2026-08-06T06:19:46Z</dcterms:modified>
</cp:coreProperties>
</file>