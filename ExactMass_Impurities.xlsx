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topeData" sheetId="1" state="visible" r:id="rId1"/>
    <sheet xmlns:r="http://schemas.openxmlformats.org/officeDocument/2006/relationships" name="Calculator" sheetId="2" state="visible" r:id="rId2"/>
  </sheets>
  <definedNames>
    <definedName name="iso_H">IsotopeData!$F$2:$F$4</definedName>
    <definedName name="iso_C">IsotopeData!$G$2:$G$4</definedName>
    <definedName name="iso_N">IsotopeData!$H$2:$H$4</definedName>
    <definedName name="iso_O">IsotopeData!$I$2:$I$5</definedName>
    <definedName name="iso_F">IsotopeData!$J$2:$J$3</definedName>
    <definedName name="iso_Si">IsotopeData!$K$2:$K$5</definedName>
    <definedName name="iso_P">IsotopeData!$L$2:$L$3</definedName>
    <definedName name="iso_S">IsotopeData!$M$2:$M$6</definedName>
    <definedName name="iso_Cl">IsotopeData!$N$2:$N$4</definedName>
    <definedName name="iso_Br">IsotopeData!$O$2:$O$4</definedName>
    <definedName name="iso_I">IsotopeData!$P$2:$P$3</definedName>
    <definedName name="iso_Na">IsotopeData!$Q$2:$Q$3</definedName>
    <definedName name="iso_Mg">IsotopeData!$R$2:$R$5</definedName>
    <definedName name="iso_Al">IsotopeData!$S$2:$S$3</definedName>
    <definedName name="iso_K">IsotopeData!$T$2:$T$5</definedName>
    <definedName name="iso_Ca">IsotopeData!$U$2:$U$8</definedName>
    <definedName name="iso_Fe">IsotopeData!$V$2:$V$6</definedName>
    <definedName name="iso_Cu">IsotopeData!$W$2:$W$4</definedName>
    <definedName name="iso_Zn">IsotopeData!$X$2:$X$7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"/>
    <numFmt numFmtId="165" formatCode="0.000000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1F4E79"/>
      <sz val="14"/>
    </font>
    <font>
      <name val="微软雅黑"/>
      <b val="1"/>
      <color rgb="001F4E79"/>
      <sz val="11"/>
    </font>
    <font>
      <name val="微软雅黑"/>
      <color rgb="00999999"/>
      <sz val="8"/>
    </font>
    <font>
      <name val="微软雅黑"/>
      <color rgb="00595959"/>
      <sz val="10"/>
    </font>
    <font>
      <name val="微软雅黑"/>
      <b val="1"/>
      <color rgb="001F4E79"/>
      <sz val="10"/>
    </font>
    <font>
      <name val="微软雅黑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2" customWidth="1" min="4" max="4"/>
    <col width="10" customWidth="1" min="6" max="6"/>
    <col width="10" customWidth="1" min="7" max="7"/>
  </cols>
  <sheetData>
    <row r="1">
      <c r="A1" s="1" t="inlineStr">
        <is>
          <t>元素</t>
        </is>
      </c>
      <c r="B1" s="1" t="inlineStr">
        <is>
          <t>质量数</t>
        </is>
      </c>
      <c r="C1" s="1" t="inlineStr">
        <is>
          <t>精确质量 (u)</t>
        </is>
      </c>
      <c r="D1" s="1" t="inlineStr">
        <is>
          <t>天然丰度</t>
        </is>
      </c>
      <c r="F1" s="1" t="inlineStr">
        <is>
          <t>H</t>
        </is>
      </c>
      <c r="G1" s="1" t="inlineStr">
        <is>
          <t>C</t>
        </is>
      </c>
      <c r="H1" s="1" t="inlineStr">
        <is>
          <t>N</t>
        </is>
      </c>
      <c r="I1" s="1" t="inlineStr">
        <is>
          <t>O</t>
        </is>
      </c>
      <c r="J1" s="1" t="inlineStr">
        <is>
          <t>F</t>
        </is>
      </c>
      <c r="K1" s="1" t="inlineStr">
        <is>
          <t>Si</t>
        </is>
      </c>
      <c r="L1" s="1" t="inlineStr">
        <is>
          <t>P</t>
        </is>
      </c>
      <c r="M1" s="1" t="inlineStr">
        <is>
          <t>S</t>
        </is>
      </c>
      <c r="N1" s="1" t="inlineStr">
        <is>
          <t>Cl</t>
        </is>
      </c>
      <c r="O1" s="1" t="inlineStr">
        <is>
          <t>Br</t>
        </is>
      </c>
      <c r="P1" s="1" t="inlineStr">
        <is>
          <t>I</t>
        </is>
      </c>
      <c r="Q1" s="1" t="inlineStr">
        <is>
          <t>Na</t>
        </is>
      </c>
      <c r="R1" s="1" t="inlineStr">
        <is>
          <t>Mg</t>
        </is>
      </c>
      <c r="S1" s="1" t="inlineStr">
        <is>
          <t>Al</t>
        </is>
      </c>
      <c r="T1" s="1" t="inlineStr">
        <is>
          <t>K</t>
        </is>
      </c>
      <c r="U1" s="1" t="inlineStr">
        <is>
          <t>Ca</t>
        </is>
      </c>
      <c r="V1" s="1" t="inlineStr">
        <is>
          <t>Fe</t>
        </is>
      </c>
      <c r="W1" s="1" t="inlineStr">
        <is>
          <t>Cu</t>
        </is>
      </c>
      <c r="X1" s="1" t="inlineStr">
        <is>
          <t>Zn</t>
        </is>
      </c>
    </row>
    <row r="2">
      <c r="A2" s="2" t="inlineStr">
        <is>
          <t>H</t>
        </is>
      </c>
      <c r="B2" s="2" t="n">
        <v>1</v>
      </c>
      <c r="C2" s="3" t="n">
        <v>1.00782503223</v>
      </c>
      <c r="D2" s="4" t="n">
        <v>0.999885</v>
      </c>
      <c r="F2" s="5" t="inlineStr">
        <is>
          <t>natural</t>
        </is>
      </c>
      <c r="G2" s="5" t="inlineStr">
        <is>
          <t>natural</t>
        </is>
      </c>
      <c r="H2" s="5" t="inlineStr">
        <is>
          <t>natural</t>
        </is>
      </c>
      <c r="I2" s="5" t="inlineStr">
        <is>
          <t>natural</t>
        </is>
      </c>
      <c r="J2" s="5" t="inlineStr">
        <is>
          <t>natural</t>
        </is>
      </c>
      <c r="K2" s="5" t="inlineStr">
        <is>
          <t>natural</t>
        </is>
      </c>
      <c r="L2" s="5" t="inlineStr">
        <is>
          <t>natural</t>
        </is>
      </c>
      <c r="M2" s="5" t="inlineStr">
        <is>
          <t>natural</t>
        </is>
      </c>
      <c r="N2" s="5" t="inlineStr">
        <is>
          <t>natural</t>
        </is>
      </c>
      <c r="O2" s="5" t="inlineStr">
        <is>
          <t>natural</t>
        </is>
      </c>
      <c r="P2" s="5" t="inlineStr">
        <is>
          <t>natural</t>
        </is>
      </c>
      <c r="Q2" s="5" t="inlineStr">
        <is>
          <t>natural</t>
        </is>
      </c>
      <c r="R2" s="5" t="inlineStr">
        <is>
          <t>natural</t>
        </is>
      </c>
      <c r="S2" s="5" t="inlineStr">
        <is>
          <t>natural</t>
        </is>
      </c>
      <c r="T2" s="5" t="inlineStr">
        <is>
          <t>natural</t>
        </is>
      </c>
      <c r="U2" s="5" t="inlineStr">
        <is>
          <t>natural</t>
        </is>
      </c>
      <c r="V2" s="5" t="inlineStr">
        <is>
          <t>natural</t>
        </is>
      </c>
      <c r="W2" s="5" t="inlineStr">
        <is>
          <t>natural</t>
        </is>
      </c>
      <c r="X2" s="5" t="inlineStr">
        <is>
          <t>natural</t>
        </is>
      </c>
    </row>
    <row r="3">
      <c r="A3" s="2" t="inlineStr">
        <is>
          <t>H</t>
        </is>
      </c>
      <c r="B3" s="2" t="n">
        <v>2</v>
      </c>
      <c r="C3" s="3" t="n">
        <v>2.01410177812</v>
      </c>
      <c r="D3" s="4" t="n">
        <v>0.000115</v>
      </c>
      <c r="F3" s="5" t="inlineStr">
        <is>
          <t>1</t>
        </is>
      </c>
      <c r="G3" s="5" t="inlineStr">
        <is>
          <t>12</t>
        </is>
      </c>
      <c r="H3" s="5" t="inlineStr">
        <is>
          <t>14</t>
        </is>
      </c>
      <c r="I3" s="5" t="inlineStr">
        <is>
          <t>16</t>
        </is>
      </c>
      <c r="J3" s="5" t="inlineStr">
        <is>
          <t>19</t>
        </is>
      </c>
      <c r="K3" s="5" t="inlineStr">
        <is>
          <t>28</t>
        </is>
      </c>
      <c r="L3" s="5" t="inlineStr">
        <is>
          <t>31</t>
        </is>
      </c>
      <c r="M3" s="5" t="inlineStr">
        <is>
          <t>32</t>
        </is>
      </c>
      <c r="N3" s="5" t="inlineStr">
        <is>
          <t>35</t>
        </is>
      </c>
      <c r="O3" s="5" t="inlineStr">
        <is>
          <t>79</t>
        </is>
      </c>
      <c r="P3" s="5" t="inlineStr">
        <is>
          <t>127</t>
        </is>
      </c>
      <c r="Q3" s="5" t="inlineStr">
        <is>
          <t>23</t>
        </is>
      </c>
      <c r="R3" s="5" t="inlineStr">
        <is>
          <t>24</t>
        </is>
      </c>
      <c r="S3" s="5" t="inlineStr">
        <is>
          <t>27</t>
        </is>
      </c>
      <c r="T3" s="5" t="inlineStr">
        <is>
          <t>39</t>
        </is>
      </c>
      <c r="U3" s="5" t="inlineStr">
        <is>
          <t>40</t>
        </is>
      </c>
      <c r="V3" s="5" t="inlineStr">
        <is>
          <t>54</t>
        </is>
      </c>
      <c r="W3" s="5" t="inlineStr">
        <is>
          <t>63</t>
        </is>
      </c>
      <c r="X3" s="5" t="inlineStr">
        <is>
          <t>64</t>
        </is>
      </c>
    </row>
    <row r="4">
      <c r="A4" s="2" t="inlineStr">
        <is>
          <t>C</t>
        </is>
      </c>
      <c r="B4" s="2" t="n">
        <v>12</v>
      </c>
      <c r="C4" s="3" t="n">
        <v>12</v>
      </c>
      <c r="D4" s="4" t="n">
        <v>0.9893</v>
      </c>
      <c r="F4" s="5" t="inlineStr">
        <is>
          <t>2</t>
        </is>
      </c>
      <c r="G4" s="5" t="inlineStr">
        <is>
          <t>13</t>
        </is>
      </c>
      <c r="H4" s="5" t="inlineStr">
        <is>
          <t>15</t>
        </is>
      </c>
      <c r="I4" s="5" t="inlineStr">
        <is>
          <t>17</t>
        </is>
      </c>
      <c r="K4" s="5" t="inlineStr">
        <is>
          <t>29</t>
        </is>
      </c>
      <c r="M4" s="5" t="inlineStr">
        <is>
          <t>33</t>
        </is>
      </c>
      <c r="N4" s="5" t="inlineStr">
        <is>
          <t>37</t>
        </is>
      </c>
      <c r="O4" s="5" t="inlineStr">
        <is>
          <t>81</t>
        </is>
      </c>
      <c r="R4" s="5" t="inlineStr">
        <is>
          <t>25</t>
        </is>
      </c>
      <c r="T4" s="5" t="inlineStr">
        <is>
          <t>40</t>
        </is>
      </c>
      <c r="U4" s="5" t="inlineStr">
        <is>
          <t>42</t>
        </is>
      </c>
      <c r="V4" s="5" t="inlineStr">
        <is>
          <t>56</t>
        </is>
      </c>
      <c r="W4" s="5" t="inlineStr">
        <is>
          <t>65</t>
        </is>
      </c>
      <c r="X4" s="5" t="inlineStr">
        <is>
          <t>66</t>
        </is>
      </c>
    </row>
    <row r="5">
      <c r="A5" s="2" t="inlineStr">
        <is>
          <t>C</t>
        </is>
      </c>
      <c r="B5" s="2" t="n">
        <v>13</v>
      </c>
      <c r="C5" s="3" t="n">
        <v>13.00335483507</v>
      </c>
      <c r="D5" s="4" t="n">
        <v>0.0107</v>
      </c>
      <c r="I5" s="5" t="inlineStr">
        <is>
          <t>18</t>
        </is>
      </c>
      <c r="K5" s="5" t="inlineStr">
        <is>
          <t>30</t>
        </is>
      </c>
      <c r="M5" s="5" t="inlineStr">
        <is>
          <t>34</t>
        </is>
      </c>
      <c r="R5" s="5" t="inlineStr">
        <is>
          <t>26</t>
        </is>
      </c>
      <c r="T5" s="5" t="inlineStr">
        <is>
          <t>41</t>
        </is>
      </c>
      <c r="U5" s="5" t="inlineStr">
        <is>
          <t>43</t>
        </is>
      </c>
      <c r="V5" s="5" t="inlineStr">
        <is>
          <t>57</t>
        </is>
      </c>
      <c r="X5" s="5" t="inlineStr">
        <is>
          <t>67</t>
        </is>
      </c>
    </row>
    <row r="6">
      <c r="A6" s="2" t="inlineStr">
        <is>
          <t>N</t>
        </is>
      </c>
      <c r="B6" s="2" t="n">
        <v>14</v>
      </c>
      <c r="C6" s="3" t="n">
        <v>14.00307400443</v>
      </c>
      <c r="D6" s="4" t="n">
        <v>0.99636</v>
      </c>
      <c r="M6" s="5" t="inlineStr">
        <is>
          <t>36</t>
        </is>
      </c>
      <c r="U6" s="5" t="inlineStr">
        <is>
          <t>44</t>
        </is>
      </c>
      <c r="V6" s="5" t="inlineStr">
        <is>
          <t>58</t>
        </is>
      </c>
      <c r="X6" s="5" t="inlineStr">
        <is>
          <t>68</t>
        </is>
      </c>
    </row>
    <row r="7">
      <c r="A7" s="2" t="inlineStr">
        <is>
          <t>N</t>
        </is>
      </c>
      <c r="B7" s="2" t="n">
        <v>15</v>
      </c>
      <c r="C7" s="3" t="n">
        <v>15.00010889888</v>
      </c>
      <c r="D7" s="4" t="n">
        <v>0.00364</v>
      </c>
      <c r="U7" s="5" t="inlineStr">
        <is>
          <t>46</t>
        </is>
      </c>
      <c r="X7" s="5" t="inlineStr">
        <is>
          <t>70</t>
        </is>
      </c>
    </row>
    <row r="8">
      <c r="A8" s="2" t="inlineStr">
        <is>
          <t>O</t>
        </is>
      </c>
      <c r="B8" s="2" t="n">
        <v>16</v>
      </c>
      <c r="C8" s="3" t="n">
        <v>15.99491461957</v>
      </c>
      <c r="D8" s="4" t="n">
        <v>0.99757</v>
      </c>
      <c r="U8" s="5" t="inlineStr">
        <is>
          <t>48</t>
        </is>
      </c>
    </row>
    <row r="9">
      <c r="A9" s="2" t="inlineStr">
        <is>
          <t>O</t>
        </is>
      </c>
      <c r="B9" s="2" t="n">
        <v>17</v>
      </c>
      <c r="C9" s="3" t="n">
        <v>16.9991317565</v>
      </c>
      <c r="D9" s="4" t="n">
        <v>0.00038</v>
      </c>
    </row>
    <row r="10">
      <c r="A10" s="2" t="inlineStr">
        <is>
          <t>O</t>
        </is>
      </c>
      <c r="B10" s="2" t="n">
        <v>18</v>
      </c>
      <c r="C10" s="3" t="n">
        <v>17.99915961286</v>
      </c>
      <c r="D10" s="4" t="n">
        <v>0.00205</v>
      </c>
    </row>
    <row r="11">
      <c r="A11" s="2" t="inlineStr">
        <is>
          <t>F</t>
        </is>
      </c>
      <c r="B11" s="2" t="n">
        <v>19</v>
      </c>
      <c r="C11" s="3" t="n">
        <v>18.99840316273</v>
      </c>
      <c r="D11" s="4" t="n">
        <v>1</v>
      </c>
    </row>
    <row r="12">
      <c r="A12" s="2" t="inlineStr">
        <is>
          <t>Si</t>
        </is>
      </c>
      <c r="B12" s="2" t="n">
        <v>28</v>
      </c>
      <c r="C12" s="3" t="n">
        <v>27.97692653465</v>
      </c>
      <c r="D12" s="4" t="n">
        <v>0.92223</v>
      </c>
    </row>
    <row r="13">
      <c r="A13" s="2" t="inlineStr">
        <is>
          <t>Si</t>
        </is>
      </c>
      <c r="B13" s="2" t="n">
        <v>29</v>
      </c>
      <c r="C13" s="3" t="n">
        <v>28.9764946649</v>
      </c>
      <c r="D13" s="4" t="n">
        <v>0.04685</v>
      </c>
    </row>
    <row r="14">
      <c r="A14" s="2" t="inlineStr">
        <is>
          <t>Si</t>
        </is>
      </c>
      <c r="B14" s="2" t="n">
        <v>30</v>
      </c>
      <c r="C14" s="3" t="n">
        <v>29.973770136</v>
      </c>
      <c r="D14" s="4" t="n">
        <v>0.03092</v>
      </c>
    </row>
    <row r="15">
      <c r="A15" s="2" t="inlineStr">
        <is>
          <t>P</t>
        </is>
      </c>
      <c r="B15" s="2" t="n">
        <v>31</v>
      </c>
      <c r="C15" s="3" t="n">
        <v>30.97376199842</v>
      </c>
      <c r="D15" s="4" t="n">
        <v>1</v>
      </c>
    </row>
    <row r="16">
      <c r="A16" s="2" t="inlineStr">
        <is>
          <t>S</t>
        </is>
      </c>
      <c r="B16" s="2" t="n">
        <v>32</v>
      </c>
      <c r="C16" s="3" t="n">
        <v>31.9720711744</v>
      </c>
      <c r="D16" s="4" t="n">
        <v>0.9499</v>
      </c>
    </row>
    <row r="17">
      <c r="A17" s="2" t="inlineStr">
        <is>
          <t>S</t>
        </is>
      </c>
      <c r="B17" s="2" t="n">
        <v>33</v>
      </c>
      <c r="C17" s="3" t="n">
        <v>32.9714589098</v>
      </c>
      <c r="D17" s="4" t="n">
        <v>0.0075</v>
      </c>
    </row>
    <row r="18">
      <c r="A18" s="2" t="inlineStr">
        <is>
          <t>S</t>
        </is>
      </c>
      <c r="B18" s="2" t="n">
        <v>34</v>
      </c>
      <c r="C18" s="3" t="n">
        <v>33.967867004</v>
      </c>
      <c r="D18" s="4" t="n">
        <v>0.0425</v>
      </c>
    </row>
    <row r="19">
      <c r="A19" s="2" t="inlineStr">
        <is>
          <t>S</t>
        </is>
      </c>
      <c r="B19" s="2" t="n">
        <v>36</v>
      </c>
      <c r="C19" s="3" t="n">
        <v>35.96708071</v>
      </c>
      <c r="D19" s="4" t="n">
        <v>0.0001</v>
      </c>
    </row>
    <row r="20">
      <c r="A20" s="2" t="inlineStr">
        <is>
          <t>Cl</t>
        </is>
      </c>
      <c r="B20" s="2" t="n">
        <v>35</v>
      </c>
      <c r="C20" s="3" t="n">
        <v>34.968852682</v>
      </c>
      <c r="D20" s="4" t="n">
        <v>0.7576000000000001</v>
      </c>
    </row>
    <row r="21">
      <c r="A21" s="2" t="inlineStr">
        <is>
          <t>Cl</t>
        </is>
      </c>
      <c r="B21" s="2" t="n">
        <v>37</v>
      </c>
      <c r="C21" s="3" t="n">
        <v>36.965902602</v>
      </c>
      <c r="D21" s="4" t="n">
        <v>0.2424</v>
      </c>
    </row>
    <row r="22">
      <c r="A22" s="2" t="inlineStr">
        <is>
          <t>Br</t>
        </is>
      </c>
      <c r="B22" s="2" t="n">
        <v>79</v>
      </c>
      <c r="C22" s="3" t="n">
        <v>78.9183376</v>
      </c>
      <c r="D22" s="4" t="n">
        <v>0.5069</v>
      </c>
    </row>
    <row r="23">
      <c r="A23" s="2" t="inlineStr">
        <is>
          <t>Br</t>
        </is>
      </c>
      <c r="B23" s="2" t="n">
        <v>81</v>
      </c>
      <c r="C23" s="3" t="n">
        <v>80.91628969999999</v>
      </c>
      <c r="D23" s="4" t="n">
        <v>0.4931</v>
      </c>
    </row>
    <row r="24">
      <c r="A24" s="2" t="inlineStr">
        <is>
          <t>I</t>
        </is>
      </c>
      <c r="B24" s="2" t="n">
        <v>127</v>
      </c>
      <c r="C24" s="3" t="n">
        <v>126.9044719</v>
      </c>
      <c r="D24" s="4" t="n">
        <v>1</v>
      </c>
    </row>
    <row r="25">
      <c r="A25" s="2" t="inlineStr">
        <is>
          <t>Na</t>
        </is>
      </c>
      <c r="B25" s="2" t="n">
        <v>23</v>
      </c>
      <c r="C25" s="3" t="n">
        <v>22.989769282</v>
      </c>
      <c r="D25" s="4" t="n">
        <v>1</v>
      </c>
    </row>
    <row r="26">
      <c r="A26" s="2" t="inlineStr">
        <is>
          <t>Mg</t>
        </is>
      </c>
      <c r="B26" s="2" t="n">
        <v>24</v>
      </c>
      <c r="C26" s="3" t="n">
        <v>23.985041697</v>
      </c>
      <c r="D26" s="4" t="n">
        <v>0.7899</v>
      </c>
    </row>
    <row r="27">
      <c r="A27" s="2" t="inlineStr">
        <is>
          <t>Mg</t>
        </is>
      </c>
      <c r="B27" s="2" t="n">
        <v>25</v>
      </c>
      <c r="C27" s="3" t="n">
        <v>24.985836976</v>
      </c>
      <c r="D27" s="4" t="n">
        <v>0.1</v>
      </c>
    </row>
    <row r="28">
      <c r="A28" s="2" t="inlineStr">
        <is>
          <t>Mg</t>
        </is>
      </c>
      <c r="B28" s="2" t="n">
        <v>26</v>
      </c>
      <c r="C28" s="3" t="n">
        <v>25.982592968</v>
      </c>
      <c r="D28" s="4" t="n">
        <v>0.1101</v>
      </c>
    </row>
    <row r="29">
      <c r="A29" s="2" t="inlineStr">
        <is>
          <t>Al</t>
        </is>
      </c>
      <c r="B29" s="2" t="n">
        <v>27</v>
      </c>
      <c r="C29" s="3" t="n">
        <v>26.98153853</v>
      </c>
      <c r="D29" s="4" t="n">
        <v>1</v>
      </c>
    </row>
    <row r="30">
      <c r="A30" s="2" t="inlineStr">
        <is>
          <t>K</t>
        </is>
      </c>
      <c r="B30" s="2" t="n">
        <v>39</v>
      </c>
      <c r="C30" s="3" t="n">
        <v>38.9637064864</v>
      </c>
      <c r="D30" s="4" t="n">
        <v>0.932581</v>
      </c>
    </row>
    <row r="31">
      <c r="A31" s="2" t="inlineStr">
        <is>
          <t>K</t>
        </is>
      </c>
      <c r="B31" s="2" t="n">
        <v>40</v>
      </c>
      <c r="C31" s="3" t="n">
        <v>39.963998166</v>
      </c>
      <c r="D31" s="4" t="n">
        <v>0.000117</v>
      </c>
    </row>
    <row r="32">
      <c r="A32" s="2" t="inlineStr">
        <is>
          <t>K</t>
        </is>
      </c>
      <c r="B32" s="2" t="n">
        <v>41</v>
      </c>
      <c r="C32" s="3" t="n">
        <v>40.9618252579</v>
      </c>
      <c r="D32" s="4" t="n">
        <v>0.067302</v>
      </c>
    </row>
    <row r="33">
      <c r="A33" s="2" t="inlineStr">
        <is>
          <t>Ca</t>
        </is>
      </c>
      <c r="B33" s="2" t="n">
        <v>40</v>
      </c>
      <c r="C33" s="3" t="n">
        <v>39.962590863</v>
      </c>
      <c r="D33" s="4" t="n">
        <v>0.96941</v>
      </c>
    </row>
    <row r="34">
      <c r="A34" s="2" t="inlineStr">
        <is>
          <t>Ca</t>
        </is>
      </c>
      <c r="B34" s="2" t="n">
        <v>42</v>
      </c>
      <c r="C34" s="3" t="n">
        <v>41.95861783</v>
      </c>
      <c r="D34" s="4" t="n">
        <v>0.00647</v>
      </c>
    </row>
    <row r="35">
      <c r="A35" s="2" t="inlineStr">
        <is>
          <t>Ca</t>
        </is>
      </c>
      <c r="B35" s="2" t="n">
        <v>43</v>
      </c>
      <c r="C35" s="3" t="n">
        <v>42.95876644</v>
      </c>
      <c r="D35" s="4" t="n">
        <v>0.00135</v>
      </c>
    </row>
    <row r="36">
      <c r="A36" s="2" t="inlineStr">
        <is>
          <t>Ca</t>
        </is>
      </c>
      <c r="B36" s="2" t="n">
        <v>44</v>
      </c>
      <c r="C36" s="3" t="n">
        <v>43.95548156</v>
      </c>
      <c r="D36" s="4" t="n">
        <v>0.02086</v>
      </c>
    </row>
    <row r="37">
      <c r="A37" s="2" t="inlineStr">
        <is>
          <t>Ca</t>
        </is>
      </c>
      <c r="B37" s="2" t="n">
        <v>46</v>
      </c>
      <c r="C37" s="3" t="n">
        <v>45.953689</v>
      </c>
      <c r="D37" s="4" t="n">
        <v>4e-05</v>
      </c>
    </row>
    <row r="38">
      <c r="A38" s="2" t="inlineStr">
        <is>
          <t>Ca</t>
        </is>
      </c>
      <c r="B38" s="2" t="n">
        <v>48</v>
      </c>
      <c r="C38" s="3" t="n">
        <v>47.95252276</v>
      </c>
      <c r="D38" s="4" t="n">
        <v>0.00187</v>
      </c>
    </row>
    <row r="39">
      <c r="A39" s="2" t="inlineStr">
        <is>
          <t>Fe</t>
        </is>
      </c>
      <c r="B39" s="2" t="n">
        <v>54</v>
      </c>
      <c r="C39" s="3" t="n">
        <v>53.93960899</v>
      </c>
      <c r="D39" s="4" t="n">
        <v>0.05845</v>
      </c>
    </row>
    <row r="40">
      <c r="A40" s="2" t="inlineStr">
        <is>
          <t>Fe</t>
        </is>
      </c>
      <c r="B40" s="2" t="n">
        <v>56</v>
      </c>
      <c r="C40" s="3" t="n">
        <v>55.93493633</v>
      </c>
      <c r="D40" s="4" t="n">
        <v>0.91754</v>
      </c>
    </row>
    <row r="41">
      <c r="A41" s="2" t="inlineStr">
        <is>
          <t>Fe</t>
        </is>
      </c>
      <c r="B41" s="2" t="n">
        <v>57</v>
      </c>
      <c r="C41" s="3" t="n">
        <v>56.93539284</v>
      </c>
      <c r="D41" s="4" t="n">
        <v>0.02119</v>
      </c>
    </row>
    <row r="42">
      <c r="A42" s="2" t="inlineStr">
        <is>
          <t>Fe</t>
        </is>
      </c>
      <c r="B42" s="2" t="n">
        <v>58</v>
      </c>
      <c r="C42" s="3" t="n">
        <v>57.93327443</v>
      </c>
      <c r="D42" s="4" t="n">
        <v>0.00282</v>
      </c>
    </row>
    <row r="43">
      <c r="A43" s="2" t="inlineStr">
        <is>
          <t>Cu</t>
        </is>
      </c>
      <c r="B43" s="2" t="n">
        <v>63</v>
      </c>
      <c r="C43" s="3" t="n">
        <v>62.92959772</v>
      </c>
      <c r="D43" s="4" t="n">
        <v>0.6915</v>
      </c>
    </row>
    <row r="44">
      <c r="A44" s="2" t="inlineStr">
        <is>
          <t>Cu</t>
        </is>
      </c>
      <c r="B44" s="2" t="n">
        <v>65</v>
      </c>
      <c r="C44" s="3" t="n">
        <v>64.92778970000001</v>
      </c>
      <c r="D44" s="4" t="n">
        <v>0.3085</v>
      </c>
    </row>
    <row r="45">
      <c r="A45" s="2" t="inlineStr">
        <is>
          <t>Zn</t>
        </is>
      </c>
      <c r="B45" s="2" t="n">
        <v>64</v>
      </c>
      <c r="C45" s="3" t="n">
        <v>63.92914201</v>
      </c>
      <c r="D45" s="4" t="n">
        <v>0.4917</v>
      </c>
    </row>
    <row r="46">
      <c r="A46" s="2" t="inlineStr">
        <is>
          <t>Zn</t>
        </is>
      </c>
      <c r="B46" s="2" t="n">
        <v>66</v>
      </c>
      <c r="C46" s="3" t="n">
        <v>65.92603381000001</v>
      </c>
      <c r="D46" s="4" t="n">
        <v>0.2773</v>
      </c>
    </row>
    <row r="47">
      <c r="A47" s="2" t="inlineStr">
        <is>
          <t>Zn</t>
        </is>
      </c>
      <c r="B47" s="2" t="n">
        <v>67</v>
      </c>
      <c r="C47" s="3" t="n">
        <v>66.92712775</v>
      </c>
      <c r="D47" s="4" t="n">
        <v>0.0404</v>
      </c>
    </row>
    <row r="48">
      <c r="A48" s="2" t="inlineStr">
        <is>
          <t>Zn</t>
        </is>
      </c>
      <c r="B48" s="2" t="n">
        <v>68</v>
      </c>
      <c r="C48" s="3" t="n">
        <v>67.92484455</v>
      </c>
      <c r="D48" s="4" t="n">
        <v>0.1845</v>
      </c>
    </row>
    <row r="49">
      <c r="A49" s="2" t="inlineStr">
        <is>
          <t>Zn</t>
        </is>
      </c>
      <c r="B49" s="2" t="n">
        <v>70</v>
      </c>
      <c r="C49" s="3" t="n">
        <v>69.9253192</v>
      </c>
      <c r="D49" s="4" t="n">
        <v>0.0061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6" t="inlineStr">
        <is>
          <t>同位素取代杂质枚举器 v1</t>
        </is>
      </c>
    </row>
    <row r="3">
      <c r="A3" s="7" t="inlineStr">
        <is>
          <t>元素</t>
        </is>
      </c>
      <c r="B3" s="8" t="inlineStr">
        <is>
          <t>C</t>
        </is>
      </c>
      <c r="C3" s="8" t="inlineStr">
        <is>
          <t>H</t>
        </is>
      </c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</row>
    <row r="4">
      <c r="A4" s="7" t="inlineStr">
        <is>
          <t>同位素种类</t>
        </is>
      </c>
      <c r="B4" s="8" t="inlineStr">
        <is>
          <t>natural</t>
        </is>
      </c>
      <c r="C4" s="8" t="inlineStr">
        <is>
          <t>2</t>
        </is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</row>
    <row r="5">
      <c r="A5" s="7" t="inlineStr">
        <is>
          <t>原子个数</t>
        </is>
      </c>
      <c r="B5" s="9" t="n">
        <v>2</v>
      </c>
      <c r="C5" s="9" t="n">
        <v>3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B6" s="10">
        <f>IF(B5="","",IF(OR(B4="",B4="natural"),B3&amp;SUBSTITUTE(SUBSTITUTE(SUBSTITUTE(SUBSTITUTE(SUBSTITUTE(SUBSTITUTE(SUBSTITUTE(SUBSTITUTE(SUBSTITUTE(SUBSTITUTE(TEXT(B5,"0"),"0","₀"),"1","₁"),"2","₂"),"3","₃"),"4","₄"),"5","₅"),"6","₆"),"7","₇"),"8","₈"),"9","₉"),SUBSTITUTE(SUBSTITUTE(SUBSTITUTE(SUBSTITUTE(SUBSTITUTE(SUBSTITUTE(SUBSTITUTE(SUBSTITUTE(SUBSTITUTE(SUBSTITUTE(TEXT(B4,"0"),"0","⁰"),"1","¹"),"2","²"),"3","³"),"4","⁴"),"5","⁵"),"6","⁶"),"7","⁷"),"8","⁸"),"9","⁹")&amp;B3&amp;SUBSTITUTE(SUBSTITUTE(SUBSTITUTE(SUBSTITUTE(SUBSTITUTE(SUBSTITUTE(SUBSTITUTE(SUBSTITUTE(SUBSTITUTE(SUBSTITUTE(TEXT(B5,"0"),"0","₀"),"1","₁"),"2","₂"),"3","₃"),"4","₄"),"5","₅"),"6","₆"),"7","₇"),"8","₈"),"9","₉")))</f>
        <v/>
      </c>
      <c r="C6" s="10">
        <f>IF(C5="","",IF(OR(C4="",C4="natural"),C3&amp;SUBSTITUTE(SUBSTITUTE(SUBSTITUTE(SUBSTITUTE(SUBSTITUTE(SUBSTITUTE(SUBSTITUTE(SUBSTITUTE(SUBSTITUTE(SUBSTITUTE(TEXT(C5,"0"),"0","₀"),"1","₁"),"2","₂"),"3","₃"),"4","₄"),"5","₅"),"6","₆"),"7","₇"),"8","₈"),"9","₉"),SUBSTITUTE(SUBSTITUTE(SUBSTITUTE(SUBSTITUTE(SUBSTITUTE(SUBSTITUTE(SUBSTITUTE(SUBSTITUTE(SUBSTITUTE(SUBSTITUTE(TEXT(C4,"0"),"0","⁰"),"1","¹"),"2","²"),"3","³"),"4","⁴"),"5","⁵"),"6","⁶"),"7","⁷"),"8","⁸"),"9","⁹")&amp;C3&amp;SUBSTITUTE(SUBSTITUTE(SUBSTITUTE(SUBSTITUTE(SUBSTITUTE(SUBSTITUTE(SUBSTITUTE(SUBSTITUTE(SUBSTITUTE(SUBSTITUTE(TEXT(C5,"0"),"0","₀"),"1","₁"),"2","₂"),"3","₃"),"4","₄"),"5","₅"),"6","₆"),"7","₇"),"8","₈"),"9","₉")))</f>
        <v/>
      </c>
      <c r="D6" s="10">
        <f>IF(D5="","",IF(OR(D4="",D4="natural"),D3&amp;SUBSTITUTE(SUBSTITUTE(SUBSTITUTE(SUBSTITUTE(SUBSTITUTE(SUBSTITUTE(SUBSTITUTE(SUBSTITUTE(SUBSTITUTE(SUBSTITUTE(TEXT(D5,"0"),"0","₀"),"1","₁"),"2","₂"),"3","₃"),"4","₄"),"5","₅"),"6","₆"),"7","₇"),"8","₈"),"9","₉"),SUBSTITUTE(SUBSTITUTE(SUBSTITUTE(SUBSTITUTE(SUBSTITUTE(SUBSTITUTE(SUBSTITUTE(SUBSTITUTE(SUBSTITUTE(SUBSTITUTE(TEXT(D4,"0"),"0","⁰"),"1","¹"),"2","²"),"3","³"),"4","⁴"),"5","⁵"),"6","⁶"),"7","⁷"),"8","⁸"),"9","⁹")&amp;D3&amp;SUBSTITUTE(SUBSTITUTE(SUBSTITUTE(SUBSTITUTE(SUBSTITUTE(SUBSTITUTE(SUBSTITUTE(SUBSTITUTE(SUBSTITUTE(SUBSTITUTE(TEXT(D5,"0"),"0","₀"),"1","₁"),"2","₂"),"3","₃"),"4","₄"),"5","₅"),"6","₆"),"7","₇"),"8","₈"),"9","₉")))</f>
        <v/>
      </c>
      <c r="E6" s="10">
        <f>IF(E5="","",IF(OR(E4="",E4="natural"),E3&amp;SUBSTITUTE(SUBSTITUTE(SUBSTITUTE(SUBSTITUTE(SUBSTITUTE(SUBSTITUTE(SUBSTITUTE(SUBSTITUTE(SUBSTITUTE(SUBSTITUTE(TEXT(E5,"0"),"0","₀"),"1","₁"),"2","₂"),"3","₃"),"4","₄"),"5","₅"),"6","₆"),"7","₇"),"8","₈"),"9","₉"),SUBSTITUTE(SUBSTITUTE(SUBSTITUTE(SUBSTITUTE(SUBSTITUTE(SUBSTITUTE(SUBSTITUTE(SUBSTITUTE(SUBSTITUTE(SUBSTITUTE(TEXT(E4,"0"),"0","⁰"),"1","¹"),"2","²"),"3","³"),"4","⁴"),"5","⁵"),"6","⁶"),"7","⁷"),"8","⁸"),"9","⁹")&amp;E3&amp;SUBSTITUTE(SUBSTITUTE(SUBSTITUTE(SUBSTITUTE(SUBSTITUTE(SUBSTITUTE(SUBSTITUTE(SUBSTITUTE(SUBSTITUTE(SUBSTITUTE(TEXT(E5,"0"),"0","₀"),"1","₁"),"2","₂"),"3","₃"),"4","₄"),"5","₅"),"6","₆"),"7","₇"),"8","₈"),"9","₉")))</f>
        <v/>
      </c>
      <c r="F6" s="10">
        <f>IF(F5="","",IF(OR(F4="",F4="natural"),F3&amp;SUBSTITUTE(SUBSTITUTE(SUBSTITUTE(SUBSTITUTE(SUBSTITUTE(SUBSTITUTE(SUBSTITUTE(SUBSTITUTE(SUBSTITUTE(SUBSTITUTE(TEXT(F5,"0"),"0","₀"),"1","₁"),"2","₂"),"3","₃"),"4","₄"),"5","₅"),"6","₆"),"7","₇"),"8","₈"),"9","₉"),SUBSTITUTE(SUBSTITUTE(SUBSTITUTE(SUBSTITUTE(SUBSTITUTE(SUBSTITUTE(SUBSTITUTE(SUBSTITUTE(SUBSTITUTE(SUBSTITUTE(TEXT(F4,"0"),"0","⁰"),"1","¹"),"2","²"),"3","³"),"4","⁴"),"5","⁵"),"6","⁶"),"7","⁷"),"8","⁸"),"9","⁹")&amp;F3&amp;SUBSTITUTE(SUBSTITUTE(SUBSTITUTE(SUBSTITUTE(SUBSTITUTE(SUBSTITUTE(SUBSTITUTE(SUBSTITUTE(SUBSTITUTE(SUBSTITUTE(TEXT(F5,"0"),"0","₀"),"1","₁"),"2","₂"),"3","₃"),"4","₄"),"5","₅"),"6","₆"),"7","₇"),"8","₈"),"9","₉")))</f>
        <v/>
      </c>
      <c r="G6" s="10">
        <f>IF(G5="","",IF(OR(G4="",G4="natural"),G3&amp;SUBSTITUTE(SUBSTITUTE(SUBSTITUTE(SUBSTITUTE(SUBSTITUTE(SUBSTITUTE(SUBSTITUTE(SUBSTITUTE(SUBSTITUTE(SUBSTITUTE(TEXT(G5,"0"),"0","₀"),"1","₁"),"2","₂"),"3","₃"),"4","₄"),"5","₅"),"6","₆"),"7","₇"),"8","₈"),"9","₉"),SUBSTITUTE(SUBSTITUTE(SUBSTITUTE(SUBSTITUTE(SUBSTITUTE(SUBSTITUTE(SUBSTITUTE(SUBSTITUTE(SUBSTITUTE(SUBSTITUTE(TEXT(G4,"0"),"0","⁰"),"1","¹"),"2","²"),"3","³"),"4","⁴"),"5","⁵"),"6","⁶"),"7","⁷"),"8","⁸"),"9","⁹")&amp;G3&amp;SUBSTITUTE(SUBSTITUTE(SUBSTITUTE(SUBSTITUTE(SUBSTITUTE(SUBSTITUTE(SUBSTITUTE(SUBSTITUTE(SUBSTITUTE(SUBSTITUTE(TEXT(G5,"0"),"0","₀"),"1","₁"),"2","₂"),"3","₃"),"4","₄"),"5","₅"),"6","₆"),"7","₇"),"8","₈"),"9","₉")))</f>
        <v/>
      </c>
      <c r="H6" s="10">
        <f>IF(H5="","",IF(OR(H4="",H4="natural"),H3&amp;SUBSTITUTE(SUBSTITUTE(SUBSTITUTE(SUBSTITUTE(SUBSTITUTE(SUBSTITUTE(SUBSTITUTE(SUBSTITUTE(SUBSTITUTE(SUBSTITUTE(TEXT(H5,"0"),"0","₀"),"1","₁"),"2","₂"),"3","₃"),"4","₄"),"5","₅"),"6","₆"),"7","₇"),"8","₈"),"9","₉"),SUBSTITUTE(SUBSTITUTE(SUBSTITUTE(SUBSTITUTE(SUBSTITUTE(SUBSTITUTE(SUBSTITUTE(SUBSTITUTE(SUBSTITUTE(SUBSTITUTE(TEXT(H4,"0"),"0","⁰"),"1","¹"),"2","²"),"3","³"),"4","⁴"),"5","⁵"),"6","⁶"),"7","⁷"),"8","⁸"),"9","⁹")&amp;H3&amp;SUBSTITUTE(SUBSTITUTE(SUBSTITUTE(SUBSTITUTE(SUBSTITUTE(SUBSTITUTE(SUBSTITUTE(SUBSTITUTE(SUBSTITUTE(SUBSTITUTE(TEXT(H5,"0"),"0","₀"),"1","₁"),"2","₂"),"3","₃"),"4","₄"),"5","₅"),"6","₆"),"7","₇"),"8","₈"),"9","₉")))</f>
        <v/>
      </c>
      <c r="I6" s="10">
        <f>IF(I5="","",IF(OR(I4="",I4="natural"),I3&amp;SUBSTITUTE(SUBSTITUTE(SUBSTITUTE(SUBSTITUTE(SUBSTITUTE(SUBSTITUTE(SUBSTITUTE(SUBSTITUTE(SUBSTITUTE(SUBSTITUTE(TEXT(I5,"0"),"0","₀"),"1","₁"),"2","₂"),"3","₃"),"4","₄"),"5","₅"),"6","₆"),"7","₇"),"8","₈"),"9","₉"),SUBSTITUTE(SUBSTITUTE(SUBSTITUTE(SUBSTITUTE(SUBSTITUTE(SUBSTITUTE(SUBSTITUTE(SUBSTITUTE(SUBSTITUTE(SUBSTITUTE(TEXT(I4,"0"),"0","⁰"),"1","¹"),"2","²"),"3","³"),"4","⁴"),"5","⁵"),"6","⁶"),"7","⁷"),"8","⁸"),"9","⁹")&amp;I3&amp;SUBSTITUTE(SUBSTITUTE(SUBSTITUTE(SUBSTITUTE(SUBSTITUTE(SUBSTITUTE(SUBSTITUTE(SUBSTITUTE(SUBSTITUTE(SUBSTITUTE(TEXT(I5,"0"),"0","₀"),"1","₁"),"2","₂"),"3","₃"),"4","₄"),"5","₅"),"6","₆"),"7","₇"),"8","₈"),"9","₉")))</f>
        <v/>
      </c>
      <c r="J6" s="10">
        <f>IF(J5="","",IF(OR(J4="",J4="natural"),J3&amp;SUBSTITUTE(SUBSTITUTE(SUBSTITUTE(SUBSTITUTE(SUBSTITUTE(SUBSTITUTE(SUBSTITUTE(SUBSTITUTE(SUBSTITUTE(SUBSTITUTE(TEXT(J5,"0"),"0","₀"),"1","₁"),"2","₂"),"3","₃"),"4","₄"),"5","₅"),"6","₆"),"7","₇"),"8","₈"),"9","₉"),SUBSTITUTE(SUBSTITUTE(SUBSTITUTE(SUBSTITUTE(SUBSTITUTE(SUBSTITUTE(SUBSTITUTE(SUBSTITUTE(SUBSTITUTE(SUBSTITUTE(TEXT(J4,"0"),"0","⁰"),"1","¹"),"2","²"),"3","³"),"4","⁴"),"5","⁵"),"6","⁶"),"7","⁷"),"8","⁸"),"9","⁹")&amp;J3&amp;SUBSTITUTE(SUBSTITUTE(SUBSTITUTE(SUBSTITUTE(SUBSTITUTE(SUBSTITUTE(SUBSTITUTE(SUBSTITUTE(SUBSTITUTE(SUBSTITUTE(TEXT(J5,"0"),"0","₀"),"1","₁"),"2","₂"),"3","₃"),"4","₄"),"5","₅"),"6","₆"),"7","₇"),"8","₈"),"9","₉")))</f>
        <v/>
      </c>
      <c r="K6" s="10">
        <f>IF(K5="","",IF(OR(K4="",K4="natural"),K3&amp;SUBSTITUTE(SUBSTITUTE(SUBSTITUTE(SUBSTITUTE(SUBSTITUTE(SUBSTITUTE(SUBSTITUTE(SUBSTITUTE(SUBSTITUTE(SUBSTITUTE(TEXT(K5,"0"),"0","₀"),"1","₁"),"2","₂"),"3","₃"),"4","₄"),"5","₅"),"6","₆"),"7","₇"),"8","₈"),"9","₉"),SUBSTITUTE(SUBSTITUTE(SUBSTITUTE(SUBSTITUTE(SUBSTITUTE(SUBSTITUTE(SUBSTITUTE(SUBSTITUTE(SUBSTITUTE(SUBSTITUTE(TEXT(K4,"0"),"0","⁰"),"1","¹"),"2","²"),"3","³"),"4","⁴"),"5","⁵"),"6","⁶"),"7","⁷"),"8","⁸"),"9","⁹")&amp;K3&amp;SUBSTITUTE(SUBSTITUTE(SUBSTITUTE(SUBSTITUTE(SUBSTITUTE(SUBSTITUTE(SUBSTITUTE(SUBSTITUTE(SUBSTITUTE(SUBSTITUTE(TEXT(K5,"0"),"0","₀"),"1","₁"),"2","₂"),"3","₃"),"4","₄"),"5","₅"),"6","₆"),"7","₇"),"8","₈"),"9","₉")))</f>
        <v/>
      </c>
      <c r="L6" s="10">
        <f>IF(L5="","",IF(OR(L4="",L4="natural"),L3&amp;SUBSTITUTE(SUBSTITUTE(SUBSTITUTE(SUBSTITUTE(SUBSTITUTE(SUBSTITUTE(SUBSTITUTE(SUBSTITUTE(SUBSTITUTE(SUBSTITUTE(TEXT(L5,"0"),"0","₀"),"1","₁"),"2","₂"),"3","₃"),"4","₄"),"5","₅"),"6","₆"),"7","₇"),"8","₈"),"9","₉"),SUBSTITUTE(SUBSTITUTE(SUBSTITUTE(SUBSTITUTE(SUBSTITUTE(SUBSTITUTE(SUBSTITUTE(SUBSTITUTE(SUBSTITUTE(SUBSTITUTE(TEXT(L4,"0"),"0","⁰"),"1","¹"),"2","²"),"3","³"),"4","⁴"),"5","⁵"),"6","⁶"),"7","⁷"),"8","⁸"),"9","⁹")&amp;L3&amp;SUBSTITUTE(SUBSTITUTE(SUBSTITUTE(SUBSTITUTE(SUBSTITUTE(SUBSTITUTE(SUBSTITUTE(SUBSTITUTE(SUBSTITUTE(SUBSTITUTE(TEXT(L5,"0"),"0","₀"),"1","₁"),"2","₂"),"3","₃"),"4","₄"),"5","₅"),"6","₆"),"7","₇"),"8","₈"),"9","₉")))</f>
        <v/>
      </c>
      <c r="M6" s="10">
        <f>IF(M5="","",IF(OR(M4="",M4="natural"),M3&amp;SUBSTITUTE(SUBSTITUTE(SUBSTITUTE(SUBSTITUTE(SUBSTITUTE(SUBSTITUTE(SUBSTITUTE(SUBSTITUTE(SUBSTITUTE(SUBSTITUTE(TEXT(M5,"0"),"0","₀"),"1","₁"),"2","₂"),"3","₃"),"4","₄"),"5","₅"),"6","₆"),"7","₇"),"8","₈"),"9","₉"),SUBSTITUTE(SUBSTITUTE(SUBSTITUTE(SUBSTITUTE(SUBSTITUTE(SUBSTITUTE(SUBSTITUTE(SUBSTITUTE(SUBSTITUTE(SUBSTITUTE(TEXT(M4,"0"),"0","⁰"),"1","¹"),"2","²"),"3","³"),"4","⁴"),"5","⁵"),"6","⁶"),"7","⁷"),"8","⁸"),"9","⁹")&amp;M3&amp;SUBSTITUTE(SUBSTITUTE(SUBSTITUTE(SUBSTITUTE(SUBSTITUTE(SUBSTITUTE(SUBSTITUTE(SUBSTITUTE(SUBSTITUTE(SUBSTITUTE(TEXT(M5,"0"),"0","₀"),"1","₁"),"2","₂"),"3","₃"),"4","₄"),"5","₅"),"6","₆"),"7","₇"),"8","₈"),"9","₉")))</f>
        <v/>
      </c>
      <c r="N6" s="10">
        <f>IF(N5="","",IF(OR(N4="",N4="natural"),N3&amp;SUBSTITUTE(SUBSTITUTE(SUBSTITUTE(SUBSTITUTE(SUBSTITUTE(SUBSTITUTE(SUBSTITUTE(SUBSTITUTE(SUBSTITUTE(SUBSTITUTE(TEXT(N5,"0"),"0","₀"),"1","₁"),"2","₂"),"3","₃"),"4","₄"),"5","₅"),"6","₆"),"7","₇"),"8","₈"),"9","₉"),SUBSTITUTE(SUBSTITUTE(SUBSTITUTE(SUBSTITUTE(SUBSTITUTE(SUBSTITUTE(SUBSTITUTE(SUBSTITUTE(SUBSTITUTE(SUBSTITUTE(TEXT(N4,"0"),"0","⁰"),"1","¹"),"2","²"),"3","³"),"4","⁴"),"5","⁵"),"6","⁶"),"7","⁷"),"8","⁸"),"9","⁹")&amp;N3&amp;SUBSTITUTE(SUBSTITUTE(SUBSTITUTE(SUBSTITUTE(SUBSTITUTE(SUBSTITUTE(SUBSTITUTE(SUBSTITUTE(SUBSTITUTE(SUBSTITUTE(TEXT(N5,"0"),"0","₀"),"1","₁"),"2","₂"),"3","₃"),"4","₄"),"5","₅"),"6","₆"),"7","₇"),"8","₈"),"9","₉")))</f>
        <v/>
      </c>
      <c r="O6" s="10">
        <f>IF(O5="","",IF(OR(O4="",O4="natural"),O3&amp;SUBSTITUTE(SUBSTITUTE(SUBSTITUTE(SUBSTITUTE(SUBSTITUTE(SUBSTITUTE(SUBSTITUTE(SUBSTITUTE(SUBSTITUTE(SUBSTITUTE(TEXT(O5,"0"),"0","₀"),"1","₁"),"2","₂"),"3","₃"),"4","₄"),"5","₅"),"6","₆"),"7","₇"),"8","₈"),"9","₉"),SUBSTITUTE(SUBSTITUTE(SUBSTITUTE(SUBSTITUTE(SUBSTITUTE(SUBSTITUTE(SUBSTITUTE(SUBSTITUTE(SUBSTITUTE(SUBSTITUTE(TEXT(O4,"0"),"0","⁰"),"1","¹"),"2","²"),"3","³"),"4","⁴"),"5","⁵"),"6","⁶"),"7","⁷"),"8","⁸"),"9","⁹")&amp;O3&amp;SUBSTITUTE(SUBSTITUTE(SUBSTITUTE(SUBSTITUTE(SUBSTITUTE(SUBSTITUTE(SUBSTITUTE(SUBSTITUTE(SUBSTITUTE(SUBSTITUTE(TEXT(O5,"0"),"0","₀"),"1","₁"),"2","₂"),"3","₃"),"4","₄"),"5","₅"),"6","₆"),"7","₇"),"8","₈"),"9","₉")))</f>
        <v/>
      </c>
      <c r="P6" s="10">
        <f>IF(P5="","",IF(OR(P4="",P4="natural"),P3&amp;SUBSTITUTE(SUBSTITUTE(SUBSTITUTE(SUBSTITUTE(SUBSTITUTE(SUBSTITUTE(SUBSTITUTE(SUBSTITUTE(SUBSTITUTE(SUBSTITUTE(TEXT(P5,"0"),"0","₀"),"1","₁"),"2","₂"),"3","₃"),"4","₄"),"5","₅"),"6","₆"),"7","₇"),"8","₈"),"9","₉"),SUBSTITUTE(SUBSTITUTE(SUBSTITUTE(SUBSTITUTE(SUBSTITUTE(SUBSTITUTE(SUBSTITUTE(SUBSTITUTE(SUBSTITUTE(SUBSTITUTE(TEXT(P4,"0"),"0","⁰"),"1","¹"),"2","²"),"3","³"),"4","⁴"),"5","⁵"),"6","⁶"),"7","⁷"),"8","⁸"),"9","⁹")&amp;P3&amp;SUBSTITUTE(SUBSTITUTE(SUBSTITUTE(SUBSTITUTE(SUBSTITUTE(SUBSTITUTE(SUBSTITUTE(SUBSTITUTE(SUBSTITUTE(SUBSTITUTE(TEXT(P5,"0"),"0","₀"),"1","₁"),"2","₂"),"3","₃"),"4","₄"),"5","₅"),"6","₆"),"7","₇"),"8","₈"),"9","₉")))</f>
        <v/>
      </c>
      <c r="Q6" s="10">
        <f>IF(Q5="","",IF(OR(Q4="",Q4="natural"),Q3&amp;SUBSTITUTE(SUBSTITUTE(SUBSTITUTE(SUBSTITUTE(SUBSTITUTE(SUBSTITUTE(SUBSTITUTE(SUBSTITUTE(SUBSTITUTE(SUBSTITUTE(TEXT(Q5,"0"),"0","₀"),"1","₁"),"2","₂"),"3","₃"),"4","₄"),"5","₅"),"6","₆"),"7","₇"),"8","₈"),"9","₉"),SUBSTITUTE(SUBSTITUTE(SUBSTITUTE(SUBSTITUTE(SUBSTITUTE(SUBSTITUTE(SUBSTITUTE(SUBSTITUTE(SUBSTITUTE(SUBSTITUTE(TEXT(Q4,"0"),"0","⁰"),"1","¹"),"2","²"),"3","³"),"4","⁴"),"5","⁵"),"6","⁶"),"7","⁷"),"8","⁸"),"9","⁹")&amp;Q3&amp;SUBSTITUTE(SUBSTITUTE(SUBSTITUTE(SUBSTITUTE(SUBSTITUTE(SUBSTITUTE(SUBSTITUTE(SUBSTITUTE(SUBSTITUTE(SUBSTITUTE(TEXT(Q5,"0"),"0","₀"),"1","₁"),"2","₂"),"3","₃"),"4","₄"),"5","₅"),"6","₆"),"7","₇"),"8","₈"),"9","₉")))</f>
        <v/>
      </c>
      <c r="R6" s="10">
        <f>IF(R5="","",IF(OR(R4="",R4="natural"),R3&amp;SUBSTITUTE(SUBSTITUTE(SUBSTITUTE(SUBSTITUTE(SUBSTITUTE(SUBSTITUTE(SUBSTITUTE(SUBSTITUTE(SUBSTITUTE(SUBSTITUTE(TEXT(R5,"0"),"0","₀"),"1","₁"),"2","₂"),"3","₃"),"4","₄"),"5","₅"),"6","₆"),"7","₇"),"8","₈"),"9","₉"),SUBSTITUTE(SUBSTITUTE(SUBSTITUTE(SUBSTITUTE(SUBSTITUTE(SUBSTITUTE(SUBSTITUTE(SUBSTITUTE(SUBSTITUTE(SUBSTITUTE(TEXT(R4,"0"),"0","⁰"),"1","¹"),"2","²"),"3","³"),"4","⁴"),"5","⁵"),"6","⁶"),"7","⁷"),"8","⁸"),"9","⁹")&amp;R3&amp;SUBSTITUTE(SUBSTITUTE(SUBSTITUTE(SUBSTITUTE(SUBSTITUTE(SUBSTITUTE(SUBSTITUTE(SUBSTITUTE(SUBSTITUTE(SUBSTITUTE(TEXT(R5,"0"),"0","₀"),"1","₁"),"2","₂"),"3","₃"),"4","₄"),"5","₅"),"6","₆"),"7","₇"),"8","₈"),"9","₉")))</f>
        <v/>
      </c>
      <c r="S6" s="10">
        <f>IF(S5="","",IF(OR(S4="",S4="natural"),S3&amp;SUBSTITUTE(SUBSTITUTE(SUBSTITUTE(SUBSTITUTE(SUBSTITUTE(SUBSTITUTE(SUBSTITUTE(SUBSTITUTE(SUBSTITUTE(SUBSTITUTE(TEXT(S5,"0"),"0","₀"),"1","₁"),"2","₂"),"3","₃"),"4","₄"),"5","₅"),"6","₆"),"7","₇"),"8","₈"),"9","₉"),SUBSTITUTE(SUBSTITUTE(SUBSTITUTE(SUBSTITUTE(SUBSTITUTE(SUBSTITUTE(SUBSTITUTE(SUBSTITUTE(SUBSTITUTE(SUBSTITUTE(TEXT(S4,"0"),"0","⁰"),"1","¹"),"2","²"),"3","³"),"4","⁴"),"5","⁵"),"6","⁶"),"7","⁷"),"8","⁸"),"9","⁹")&amp;S3&amp;SUBSTITUTE(SUBSTITUTE(SUBSTITUTE(SUBSTITUTE(SUBSTITUTE(SUBSTITUTE(SUBSTITUTE(SUBSTITUTE(SUBSTITUTE(SUBSTITUTE(TEXT(S5,"0"),"0","₀"),"1","₁"),"2","₂"),"3","₃"),"4","₄"),"5","₅"),"6","₆"),"7","₇"),"8","₈"),"9","₉")))</f>
        <v/>
      </c>
      <c r="T6" s="10">
        <f>IF(T5="","",IF(OR(T4="",T4="natural"),T3&amp;SUBSTITUTE(SUBSTITUTE(SUBSTITUTE(SUBSTITUTE(SUBSTITUTE(SUBSTITUTE(SUBSTITUTE(SUBSTITUTE(SUBSTITUTE(SUBSTITUTE(TEXT(T5,"0"),"0","₀"),"1","₁"),"2","₂"),"3","₃"),"4","₄"),"5","₅"),"6","₆"),"7","₇"),"8","₈"),"9","₉"),SUBSTITUTE(SUBSTITUTE(SUBSTITUTE(SUBSTITUTE(SUBSTITUTE(SUBSTITUTE(SUBSTITUTE(SUBSTITUTE(SUBSTITUTE(SUBSTITUTE(TEXT(T4,"0"),"0","⁰"),"1","¹"),"2","²"),"3","³"),"4","⁴"),"5","⁵"),"6","⁶"),"7","⁷"),"8","⁸"),"9","⁹")&amp;T3&amp;SUBSTITUTE(SUBSTITUTE(SUBSTITUTE(SUBSTITUTE(SUBSTITUTE(SUBSTITUTE(SUBSTITUTE(SUBSTITUTE(SUBSTITUTE(SUBSTITUTE(TEXT(T5,"0"),"0","₀"),"1","₁"),"2","₂"),"3","₃"),"4","₄"),"5","₅"),"6","₆"),"7","₇"),"8","₈"),"9","₉")))</f>
        <v/>
      </c>
      <c r="U6" s="10">
        <f>IF(U5="","",IF(OR(U4="",U4="natural"),U3&amp;SUBSTITUTE(SUBSTITUTE(SUBSTITUTE(SUBSTITUTE(SUBSTITUTE(SUBSTITUTE(SUBSTITUTE(SUBSTITUTE(SUBSTITUTE(SUBSTITUTE(TEXT(U5,"0"),"0","₀"),"1","₁"),"2","₂"),"3","₃"),"4","₄"),"5","₅"),"6","₆"),"7","₇"),"8","₈"),"9","₉"),SUBSTITUTE(SUBSTITUTE(SUBSTITUTE(SUBSTITUTE(SUBSTITUTE(SUBSTITUTE(SUBSTITUTE(SUBSTITUTE(SUBSTITUTE(SUBSTITUTE(TEXT(U4,"0"),"0","⁰"),"1","¹"),"2","²"),"3","³"),"4","⁴"),"5","⁵"),"6","⁶"),"7","⁷"),"8","⁸"),"9","⁹")&amp;U3&amp;SUBSTITUTE(SUBSTITUTE(SUBSTITUTE(SUBSTITUTE(SUBSTITUTE(SUBSTITUTE(SUBSTITUTE(SUBSTITUTE(SUBSTITUTE(SUBSTITUTE(TEXT(U5,"0"),"0","₀"),"1","₁"),"2","₂"),"3","₃"),"4","₄"),"5","₅"),"6","₆"),"7","₇"),"8","₈"),"9","₉")))</f>
        <v/>
      </c>
      <c r="V6" s="10">
        <f>IF(V5="","",IF(OR(V4="",V4="natural"),V3&amp;SUBSTITUTE(SUBSTITUTE(SUBSTITUTE(SUBSTITUTE(SUBSTITUTE(SUBSTITUTE(SUBSTITUTE(SUBSTITUTE(SUBSTITUTE(SUBSTITUTE(TEXT(V5,"0"),"0","₀"),"1","₁"),"2","₂"),"3","₃"),"4","₄"),"5","₅"),"6","₆"),"7","₇"),"8","₈"),"9","₉"),SUBSTITUTE(SUBSTITUTE(SUBSTITUTE(SUBSTITUTE(SUBSTITUTE(SUBSTITUTE(SUBSTITUTE(SUBSTITUTE(SUBSTITUTE(SUBSTITUTE(TEXT(V4,"0"),"0","⁰"),"1","¹"),"2","²"),"3","³"),"4","⁴"),"5","⁵"),"6","⁶"),"7","⁷"),"8","⁸"),"9","⁹")&amp;V3&amp;SUBSTITUTE(SUBSTITUTE(SUBSTITUTE(SUBSTITUTE(SUBSTITUTE(SUBSTITUTE(SUBSTITUTE(SUBSTITUTE(SUBSTITUTE(SUBSTITUTE(TEXT(V5,"0"),"0","₀"),"1","₁"),"2","₂"),"3","₃"),"4","₄"),"5","₅"),"6","₆"),"7","₇"),"8","₈"),"9","₉")))</f>
        <v/>
      </c>
      <c r="W6" s="10">
        <f>IF(W5="","",IF(OR(W4="",W4="natural"),W3&amp;SUBSTITUTE(SUBSTITUTE(SUBSTITUTE(SUBSTITUTE(SUBSTITUTE(SUBSTITUTE(SUBSTITUTE(SUBSTITUTE(SUBSTITUTE(SUBSTITUTE(TEXT(W5,"0"),"0","₀"),"1","₁"),"2","₂"),"3","₃"),"4","₄"),"5","₅"),"6","₆"),"7","₇"),"8","₈"),"9","₉"),SUBSTITUTE(SUBSTITUTE(SUBSTITUTE(SUBSTITUTE(SUBSTITUTE(SUBSTITUTE(SUBSTITUTE(SUBSTITUTE(SUBSTITUTE(SUBSTITUTE(TEXT(W4,"0"),"0","⁰"),"1","¹"),"2","²"),"3","³"),"4","⁴"),"5","⁵"),"6","⁶"),"7","⁷"),"8","⁸"),"9","⁹")&amp;W3&amp;SUBSTITUTE(SUBSTITUTE(SUBSTITUTE(SUBSTITUTE(SUBSTITUTE(SUBSTITUTE(SUBSTITUTE(SUBSTITUTE(SUBSTITUTE(SUBSTITUTE(TEXT(W5,"0"),"0","₀"),"1","₁"),"2","₂"),"3","₃"),"4","₄"),"5","₅"),"6","₆"),"7","₇"),"8","₈"),"9","₉")))</f>
        <v/>
      </c>
      <c r="X6" s="10">
        <f>IF(X5="","",IF(OR(X4="",X4="natural"),X3&amp;SUBSTITUTE(SUBSTITUTE(SUBSTITUTE(SUBSTITUTE(SUBSTITUTE(SUBSTITUTE(SUBSTITUTE(SUBSTITUTE(SUBSTITUTE(SUBSTITUTE(TEXT(X5,"0"),"0","₀"),"1","₁"),"2","₂"),"3","₃"),"4","₄"),"5","₅"),"6","₆"),"7","₇"),"8","₈"),"9","₉"),SUBSTITUTE(SUBSTITUTE(SUBSTITUTE(SUBSTITUTE(SUBSTITUTE(SUBSTITUTE(SUBSTITUTE(SUBSTITUTE(SUBSTITUTE(SUBSTITUTE(TEXT(X4,"0"),"0","⁰"),"1","¹"),"2","²"),"3","³"),"4","⁴"),"5","⁵"),"6","⁶"),"7","⁷"),"8","⁸"),"9","⁹")&amp;X3&amp;SUBSTITUTE(SUBSTITUTE(SUBSTITUTE(SUBSTITUTE(SUBSTITUTE(SUBSTITUTE(SUBSTITUTE(SUBSTITUTE(SUBSTITUTE(SUBSTITUTE(TEXT(X5,"0"),"0","₀"),"1","₁"),"2","₂"),"3","₃"),"4","₄"),"5","₅"),"6","₆"),"7","₇"),"8","₈"),"9","₉")))</f>
        <v/>
      </c>
      <c r="Y6" s="10">
        <f>IF(Y5="","",IF(OR(Y4="",Y4="natural"),Y3&amp;SUBSTITUTE(SUBSTITUTE(SUBSTITUTE(SUBSTITUTE(SUBSTITUTE(SUBSTITUTE(SUBSTITUTE(SUBSTITUTE(SUBSTITUTE(SUBSTITUTE(TEXT(Y5,"0"),"0","₀"),"1","₁"),"2","₂"),"3","₃"),"4","₄"),"5","₅"),"6","₆"),"7","₇"),"8","₈"),"9","₉"),SUBSTITUTE(SUBSTITUTE(SUBSTITUTE(SUBSTITUTE(SUBSTITUTE(SUBSTITUTE(SUBSTITUTE(SUBSTITUTE(SUBSTITUTE(SUBSTITUTE(TEXT(Y4,"0"),"0","⁰"),"1","¹"),"2","²"),"3","³"),"4","⁴"),"5","⁵"),"6","⁶"),"7","⁷"),"8","⁸"),"9","⁹")&amp;Y3&amp;SUBSTITUTE(SUBSTITUTE(SUBSTITUTE(SUBSTITUTE(SUBSTITUTE(SUBSTITUTE(SUBSTITUTE(SUBSTITUTE(SUBSTITUTE(SUBSTITUTE(TEXT(Y5,"0"),"0","₀"),"1","₁"),"2","₂"),"3","₃"),"4","₄"),"5","₅"),"6","₆"),"7","₇"),"8","₈"),"9","₉")))</f>
        <v/>
      </c>
      <c r="Z6" s="10">
        <f>IF(Z5="","",IF(OR(Z4="",Z4="natural"),Z3&amp;SUBSTITUTE(SUBSTITUTE(SUBSTITUTE(SUBSTITUTE(SUBSTITUTE(SUBSTITUTE(SUBSTITUTE(SUBSTITUTE(SUBSTITUTE(SUBSTITUTE(TEXT(Z5,"0"),"0","₀"),"1","₁"),"2","₂"),"3","₃"),"4","₄"),"5","₅"),"6","₆"),"7","₇"),"8","₈"),"9","₉"),SUBSTITUTE(SUBSTITUTE(SUBSTITUTE(SUBSTITUTE(SUBSTITUTE(SUBSTITUTE(SUBSTITUTE(SUBSTITUTE(SUBSTITUTE(SUBSTITUTE(TEXT(Z4,"0"),"0","⁰"),"1","¹"),"2","²"),"3","³"),"4","⁴"),"5","⁵"),"6","⁶"),"7","⁷"),"8","⁸"),"9","⁹")&amp;Z3&amp;SUBSTITUTE(SUBSTITUTE(SUBSTITUTE(SUBSTITUTE(SUBSTITUTE(SUBSTITUTE(SUBSTITUTE(SUBSTITUTE(SUBSTITUTE(SUBSTITUTE(TEXT(Z5,"0"),"0","₀"),"1","₁"),"2","₂"),"3","₃"),"4","₄"),"5","₅"),"6","₆"),"7","₇"),"8","₈"),"9","₉")))</f>
        <v/>
      </c>
      <c r="AA6" s="10">
        <f>IF(AA5="","",IF(OR(AA4="",AA4="natural"),AA3&amp;SUBSTITUTE(SUBSTITUTE(SUBSTITUTE(SUBSTITUTE(SUBSTITUTE(SUBSTITUTE(SUBSTITUTE(SUBSTITUTE(SUBSTITUTE(SUBSTITUTE(TEXT(AA5,"0"),"0","₀"),"1","₁"),"2","₂"),"3","₃"),"4","₄"),"5","₅"),"6","₆"),"7","₇"),"8","₈"),"9","₉"),SUBSTITUTE(SUBSTITUTE(SUBSTITUTE(SUBSTITUTE(SUBSTITUTE(SUBSTITUTE(SUBSTITUTE(SUBSTITUTE(SUBSTITUTE(SUBSTITUTE(TEXT(AA4,"0"),"0","⁰"),"1","¹"),"2","²"),"3","³"),"4","⁴"),"5","⁵"),"6","⁶"),"7","⁷"),"8","⁸"),"9","⁹")&amp;AA3&amp;SUBSTITUTE(SUBSTITUTE(SUBSTITUTE(SUBSTITUTE(SUBSTITUTE(SUBSTITUTE(SUBSTITUTE(SUBSTITUTE(SUBSTITUTE(SUBSTITUTE(TEXT(AA5,"0"),"0","₀"),"1","₁"),"2","₂"),"3","₃"),"4","₄"),"5","₅"),"6","₆"),"7","₇"),"8","₈"),"9","₉")))</f>
        <v/>
      </c>
    </row>
    <row r="7">
      <c r="A7" s="7" t="inlineStr">
        <is>
          <t>分子式（自动）</t>
        </is>
      </c>
      <c r="B7" s="11">
        <f>CONCATENATE(B6, C6, D6, E6, F6, G6, H6, I6, J6, K6, L6, M6, N6, O6, P6, Q6, R6, S6, T6, U6, V6, W6, X6, Y6, Z6, AA6)</f>
        <v/>
      </c>
    </row>
    <row r="9">
      <c r="A9" s="7" t="inlineStr">
        <is>
          <t>使用说明：</t>
        </is>
      </c>
    </row>
    <row r="10">
      <c r="A10" s="12" t="inlineStr">
        <is>
          <t>1. 输入一个同位素修饰的分子式：第3行选元素，第4行选同位素种类（natural=天然，或质量数如 2=氘D、13=¹³C），第5行输入原子个数</t>
        </is>
      </c>
    </row>
    <row r="11">
      <c r="A11" s="12" t="inlineStr">
        <is>
          <t>2. 点击"列举杂质"按钮，枚举该修饰分子与天然化合物之间的所有同位素取代杂质（含天然形式，不含输入本身）</t>
        </is>
      </c>
    </row>
    <row r="12">
      <c r="A12" s="12" t="inlineStr">
        <is>
          <t>3. 例：输入 C2D3 → 输出 C2H3（全天然）、C2H2D、C2HD2</t>
        </is>
      </c>
    </row>
    <row r="13">
      <c r="A13" s="12" t="inlineStr">
        <is>
          <t>4. natural 列（如 C natural）不参与枚举——天然同位素杂质（如 ¹³C）忽略，不列举</t>
        </is>
      </c>
    </row>
    <row r="14">
      <c r="A14" s="7" t="inlineStr">
        <is>
          <t>输出：同位素取代杂质（每杂质 4 行：名称 / 元素 / 同位素 / 个数）</t>
        </is>
      </c>
    </row>
    <row r="15">
      <c r="A15" s="13" t="inlineStr">
        <is>
          <t>6. 需要本机安装 Python 与 molmass 库：pip install molmass</t>
        </is>
      </c>
      <c r="B15" s="14" t="n"/>
      <c r="C15" s="14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3" t="n"/>
      <c r="B16" s="14" t="n"/>
      <c r="C16" s="14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3" t="n"/>
      <c r="B17" s="14" t="n"/>
      <c r="C17" s="14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3" t="n"/>
      <c r="B18" s="14" t="n"/>
      <c r="C18" s="14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3" t="n"/>
      <c r="B19" s="14" t="n"/>
      <c r="C19" s="14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3" t="n"/>
      <c r="B20" s="14" t="n"/>
      <c r="C20" s="14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3" t="n"/>
      <c r="B21" s="14" t="n"/>
      <c r="C21" s="14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3" t="n"/>
      <c r="B22" s="14" t="n"/>
      <c r="C22" s="14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3" t="n"/>
      <c r="B23" s="14" t="n"/>
      <c r="C23" s="14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3" t="n"/>
      <c r="B24" s="14" t="n"/>
      <c r="C24" s="14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3" t="n"/>
      <c r="B25" s="14" t="n"/>
      <c r="C25" s="14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3" t="n"/>
      <c r="B26" s="14" t="n"/>
      <c r="C26" s="14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3" t="n"/>
      <c r="B27" s="14" t="n"/>
      <c r="C27" s="14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3" t="n"/>
      <c r="B28" s="14" t="n"/>
      <c r="C28" s="14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3" t="n"/>
      <c r="B29" s="14" t="n"/>
      <c r="C29" s="14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3" t="n"/>
      <c r="B30" s="14" t="n"/>
      <c r="C30" s="14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3" t="n"/>
      <c r="B31" s="14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3" t="n"/>
      <c r="B32" s="14" t="n"/>
      <c r="C32" s="14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3" t="n"/>
      <c r="B33" s="14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3" t="n"/>
      <c r="B34" s="14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3" t="n"/>
      <c r="B35" s="14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3" t="n"/>
      <c r="B36" s="14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3" t="n"/>
      <c r="B37" s="14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3" t="n"/>
      <c r="B38" s="14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3" t="n"/>
      <c r="B39" s="14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3" t="n"/>
      <c r="B40" s="14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3" t="n"/>
      <c r="B41" s="14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3" t="n"/>
      <c r="B42" s="14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3" t="n"/>
      <c r="B43" s="14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3" t="n"/>
      <c r="B44" s="14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3" t="n"/>
      <c r="B45" s="14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3" t="n"/>
      <c r="B46" s="14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3" t="n"/>
      <c r="B47" s="14" t="n"/>
      <c r="C47" s="14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3" t="n"/>
      <c r="B48" s="14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3" t="n"/>
      <c r="B49" s="14" t="n"/>
      <c r="C49" s="14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3" t="n"/>
      <c r="B50" s="14" t="n"/>
      <c r="C50" s="14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3" t="n"/>
      <c r="B51" s="14" t="n"/>
      <c r="C51" s="14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3" t="n"/>
      <c r="B52" s="14" t="n"/>
      <c r="C52" s="14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3" t="n"/>
      <c r="B53" s="14" t="n"/>
      <c r="C53" s="14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3" t="n"/>
      <c r="B54" s="14" t="n"/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3" t="n"/>
      <c r="B55" s="14" t="n"/>
      <c r="C55" s="14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3" t="n"/>
      <c r="B56" s="14" t="n"/>
      <c r="C56" s="14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3" t="n"/>
      <c r="B57" s="14" t="n"/>
      <c r="C57" s="14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3" t="n"/>
      <c r="B58" s="14" t="n"/>
      <c r="C58" s="14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3" t="n"/>
      <c r="B59" s="14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3" t="n"/>
      <c r="B60" s="14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3" t="n"/>
      <c r="B61" s="14" t="n"/>
      <c r="C61" s="14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3" t="n"/>
      <c r="B62" s="14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3" t="n"/>
      <c r="B63" s="14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3" t="n"/>
      <c r="B64" s="14" t="n"/>
      <c r="C64" s="14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3" t="n"/>
      <c r="B65" s="14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3" t="n"/>
      <c r="B66" s="14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3" t="n"/>
      <c r="B67" s="14" t="n"/>
      <c r="C67" s="14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3" t="n"/>
      <c r="B68" s="14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3" t="n"/>
      <c r="B69" s="14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3" t="n"/>
      <c r="B70" s="14" t="n"/>
      <c r="C70" s="14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3" t="n"/>
      <c r="B71" s="14" t="n"/>
      <c r="C71" s="14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3" t="n"/>
      <c r="B72" s="14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3" t="n"/>
      <c r="B73" s="14" t="n"/>
      <c r="C73" s="14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3" t="n"/>
      <c r="B74" s="14" t="n"/>
      <c r="C74" s="14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3" t="n"/>
      <c r="B75" s="14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3" t="n"/>
      <c r="B76" s="14" t="n"/>
      <c r="C76" s="14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3" t="n"/>
      <c r="B77" s="14" t="n"/>
      <c r="C77" s="14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3" t="n"/>
      <c r="B78" s="14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3" t="n"/>
      <c r="B79" s="14" t="n"/>
      <c r="C79" s="14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3" t="n"/>
      <c r="B80" s="14" t="n"/>
      <c r="C80" s="14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3" t="n"/>
      <c r="B81" s="14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3" t="n"/>
      <c r="B82" s="14" t="n"/>
      <c r="C82" s="14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3" t="n"/>
      <c r="B83" s="14" t="n"/>
      <c r="C83" s="14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3" t="n"/>
      <c r="B84" s="14" t="n"/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3" t="n"/>
      <c r="B85" s="14" t="n"/>
      <c r="C85" s="14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3" t="n"/>
      <c r="B86" s="14" t="n"/>
      <c r="C86" s="14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3" t="n"/>
      <c r="B87" s="14" t="n"/>
      <c r="C87" s="14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3" t="n"/>
      <c r="B88" s="14" t="n"/>
      <c r="C88" s="14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3" t="n"/>
      <c r="B89" s="14" t="n"/>
      <c r="C89" s="14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3" t="n"/>
      <c r="B90" s="14" t="n"/>
      <c r="C90" s="14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3" t="n"/>
      <c r="B91" s="14" t="n"/>
      <c r="C91" s="14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3" t="n"/>
      <c r="B92" s="14" t="n"/>
      <c r="C92" s="14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3" t="n"/>
      <c r="B93" s="14" t="n"/>
      <c r="C93" s="14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3" t="n"/>
      <c r="B94" s="14" t="n"/>
      <c r="C94" s="14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3" t="n"/>
      <c r="B95" s="14" t="n"/>
      <c r="C95" s="14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3" t="n"/>
      <c r="B96" s="14" t="n"/>
      <c r="C96" s="14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3" t="n"/>
      <c r="B97" s="14" t="n"/>
      <c r="C97" s="14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3" t="n"/>
      <c r="B98" s="14" t="n"/>
      <c r="C98" s="14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3" t="n"/>
      <c r="B99" s="14" t="n"/>
      <c r="C99" s="14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3" t="n"/>
      <c r="B100" s="14" t="n"/>
      <c r="C100" s="14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3" t="n"/>
      <c r="B101" s="14" t="n"/>
      <c r="C101" s="14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3" t="n"/>
      <c r="B102" s="14" t="n"/>
      <c r="C102" s="14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3" t="n"/>
      <c r="B103" s="14" t="n"/>
      <c r="C103" s="14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3" t="n"/>
      <c r="B104" s="14" t="n"/>
      <c r="C104" s="14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3" t="n"/>
      <c r="B105" s="14" t="n"/>
      <c r="C105" s="14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3" t="n"/>
      <c r="B106" s="14" t="n"/>
      <c r="C106" s="14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3" t="n"/>
      <c r="B107" s="14" t="n"/>
      <c r="C107" s="14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3" t="n"/>
      <c r="B108" s="14" t="n"/>
      <c r="C108" s="14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3" t="n"/>
      <c r="B109" s="14" t="n"/>
      <c r="C109" s="14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3" t="n"/>
      <c r="B110" s="14" t="n"/>
      <c r="C110" s="14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3" t="n"/>
      <c r="B111" s="14" t="n"/>
      <c r="C111" s="14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3" t="n"/>
      <c r="B112" s="14" t="n"/>
      <c r="C112" s="14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3" t="n"/>
      <c r="B113" s="14" t="n"/>
      <c r="C113" s="14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3" t="n"/>
      <c r="B114" s="14" t="n"/>
      <c r="C114" s="14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3" t="n"/>
      <c r="B115" s="14" t="n"/>
      <c r="C115" s="14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3" t="n"/>
      <c r="B116" s="14" t="n"/>
      <c r="C116" s="14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3" t="n"/>
      <c r="B117" s="14" t="n"/>
      <c r="C117" s="14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3" t="n"/>
      <c r="B118" s="14" t="n"/>
      <c r="C118" s="14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3" t="n"/>
      <c r="B119" s="14" t="n"/>
      <c r="C119" s="14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3" t="n"/>
      <c r="B120" s="14" t="n"/>
      <c r="C120" s="14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3" t="n"/>
      <c r="B121" s="14" t="n"/>
      <c r="C121" s="14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3" t="n"/>
      <c r="B122" s="14" t="n"/>
      <c r="C122" s="14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3" t="n"/>
      <c r="B123" s="14" t="n"/>
      <c r="C123" s="14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3" t="n"/>
      <c r="B124" s="14" t="n"/>
      <c r="C124" s="14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3" t="n"/>
      <c r="B125" s="14" t="n"/>
      <c r="C125" s="14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3" t="n"/>
      <c r="B126" s="14" t="n"/>
      <c r="C126" s="14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3" t="n"/>
      <c r="B127" s="14" t="n"/>
      <c r="C127" s="14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3" t="n"/>
      <c r="B128" s="14" t="n"/>
      <c r="C128" s="14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3" t="n"/>
      <c r="B129" s="14" t="n"/>
      <c r="C129" s="14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3" t="n"/>
      <c r="B130" s="14" t="n"/>
      <c r="C130" s="14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3" t="n"/>
      <c r="B131" s="14" t="n"/>
      <c r="C131" s="14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3" t="n"/>
      <c r="B132" s="14" t="n"/>
      <c r="C132" s="14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3" t="n"/>
      <c r="B133" s="14" t="n"/>
      <c r="C133" s="14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3" t="n"/>
      <c r="B134" s="14" t="n"/>
      <c r="C134" s="14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50">
      <c r="A150" s="16" t="inlineStr">
        <is>
          <t>▶ 按钮"列举杂质"由构建脚本自动放置（E40 区域）</t>
        </is>
      </c>
    </row>
  </sheetData>
  <mergeCells count="2">
    <mergeCell ref="B7:J7"/>
    <mergeCell ref="A1:J1"/>
  </mergeCells>
  <dataValidations count="52">
    <dataValidation sqref="B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B4" showDropDown="0" showInputMessage="0" showErrorMessage="1" allowBlank="1" errorTitle="无效同位素" error="natural 或质量数（如 2=氘）" type="list">
      <formula1>=IF(B3="","",INDIRECT("iso_"&amp;B3))</formula1>
    </dataValidation>
    <dataValidation sqref="C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C4" showDropDown="0" showInputMessage="0" showErrorMessage="1" allowBlank="1" errorTitle="无效同位素" error="natural 或质量数（如 2=氘）" type="list">
      <formula1>=IF(C3="","",INDIRECT("iso_"&amp;C3))</formula1>
    </dataValidation>
    <dataValidation sqref="D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D4" showDropDown="0" showInputMessage="0" showErrorMessage="1" allowBlank="1" errorTitle="无效同位素" error="natural 或质量数（如 2=氘）" type="list">
      <formula1>=IF(D3="","",INDIRECT("iso_"&amp;D3))</formula1>
    </dataValidation>
    <dataValidation sqref="E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E4" showDropDown="0" showInputMessage="0" showErrorMessage="1" allowBlank="1" errorTitle="无效同位素" error="natural 或质量数（如 2=氘）" type="list">
      <formula1>=IF(E3="","",INDIRECT("iso_"&amp;E3))</formula1>
    </dataValidation>
    <dataValidation sqref="F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F4" showDropDown="0" showInputMessage="0" showErrorMessage="1" allowBlank="1" errorTitle="无效同位素" error="natural 或质量数（如 2=氘）" type="list">
      <formula1>=IF(F3="","",INDIRECT("iso_"&amp;F3))</formula1>
    </dataValidation>
    <dataValidation sqref="G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G4" showDropDown="0" showInputMessage="0" showErrorMessage="1" allowBlank="1" errorTitle="无效同位素" error="natural 或质量数（如 2=氘）" type="list">
      <formula1>=IF(G3="","",INDIRECT("iso_"&amp;G3))</formula1>
    </dataValidation>
    <dataValidation sqref="H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H4" showDropDown="0" showInputMessage="0" showErrorMessage="1" allowBlank="1" errorTitle="无效同位素" error="natural 或质量数（如 2=氘）" type="list">
      <formula1>=IF(H3="","",INDIRECT("iso_"&amp;H3))</formula1>
    </dataValidation>
    <dataValidation sqref="I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I4" showDropDown="0" showInputMessage="0" showErrorMessage="1" allowBlank="1" errorTitle="无效同位素" error="natural 或质量数（如 2=氘）" type="list">
      <formula1>=IF(I3="","",INDIRECT("iso_"&amp;I3))</formula1>
    </dataValidation>
    <dataValidation sqref="J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J4" showDropDown="0" showInputMessage="0" showErrorMessage="1" allowBlank="1" errorTitle="无效同位素" error="natural 或质量数（如 2=氘）" type="list">
      <formula1>=IF(J3="","",INDIRECT("iso_"&amp;J3))</formula1>
    </dataValidation>
    <dataValidation sqref="K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K4" showDropDown="0" showInputMessage="0" showErrorMessage="1" allowBlank="1" errorTitle="无效同位素" error="natural 或质量数（如 2=氘）" type="list">
      <formula1>=IF(K3="","",INDIRECT("iso_"&amp;K3))</formula1>
    </dataValidation>
    <dataValidation sqref="L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L4" showDropDown="0" showInputMessage="0" showErrorMessage="1" allowBlank="1" errorTitle="无效同位素" error="natural 或质量数（如 2=氘）" type="list">
      <formula1>=IF(L3="","",INDIRECT("iso_"&amp;L3))</formula1>
    </dataValidation>
    <dataValidation sqref="M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M4" showDropDown="0" showInputMessage="0" showErrorMessage="1" allowBlank="1" errorTitle="无效同位素" error="natural 或质量数（如 2=氘）" type="list">
      <formula1>=IF(M3="","",INDIRECT("iso_"&amp;M3))</formula1>
    </dataValidation>
    <dataValidation sqref="N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N4" showDropDown="0" showInputMessage="0" showErrorMessage="1" allowBlank="1" errorTitle="无效同位素" error="natural 或质量数（如 2=氘）" type="list">
      <formula1>=IF(N3="","",INDIRECT("iso_"&amp;N3))</formula1>
    </dataValidation>
    <dataValidation sqref="O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O4" showDropDown="0" showInputMessage="0" showErrorMessage="1" allowBlank="1" errorTitle="无效同位素" error="natural 或质量数（如 2=氘）" type="list">
      <formula1>=IF(O3="","",INDIRECT("iso_"&amp;O3))</formula1>
    </dataValidation>
    <dataValidation sqref="P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P4" showDropDown="0" showInputMessage="0" showErrorMessage="1" allowBlank="1" errorTitle="无效同位素" error="natural 或质量数（如 2=氘）" type="list">
      <formula1>=IF(P3="","",INDIRECT("iso_"&amp;P3))</formula1>
    </dataValidation>
    <dataValidation sqref="Q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Q4" showDropDown="0" showInputMessage="0" showErrorMessage="1" allowBlank="1" errorTitle="无效同位素" error="natural 或质量数（如 2=氘）" type="list">
      <formula1>=IF(Q3="","",INDIRECT("iso_"&amp;Q3))</formula1>
    </dataValidation>
    <dataValidation sqref="R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R4" showDropDown="0" showInputMessage="0" showErrorMessage="1" allowBlank="1" errorTitle="无效同位素" error="natural 或质量数（如 2=氘）" type="list">
      <formula1>=IF(R3="","",INDIRECT("iso_"&amp;R3))</formula1>
    </dataValidation>
    <dataValidation sqref="S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S4" showDropDown="0" showInputMessage="0" showErrorMessage="1" allowBlank="1" errorTitle="无效同位素" error="natural 或质量数（如 2=氘）" type="list">
      <formula1>=IF(S3="","",INDIRECT("iso_"&amp;S3))</formula1>
    </dataValidation>
    <dataValidation sqref="T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T4" showDropDown="0" showInputMessage="0" showErrorMessage="1" allowBlank="1" errorTitle="无效同位素" error="natural 或质量数（如 2=氘）" type="list">
      <formula1>=IF(T3="","",INDIRECT("iso_"&amp;T3))</formula1>
    </dataValidation>
    <dataValidation sqref="U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U4" showDropDown="0" showInputMessage="0" showErrorMessage="1" allowBlank="1" errorTitle="无效同位素" error="natural 或质量数（如 2=氘）" type="list">
      <formula1>=IF(U3="","",INDIRECT("iso_"&amp;U3))</formula1>
    </dataValidation>
    <dataValidation sqref="V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V4" showDropDown="0" showInputMessage="0" showErrorMessage="1" allowBlank="1" errorTitle="无效同位素" error="natural 或质量数（如 2=氘）" type="list">
      <formula1>=IF(V3="","",INDIRECT("iso_"&amp;V3))</formula1>
    </dataValidation>
    <dataValidation sqref="W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W4" showDropDown="0" showInputMessage="0" showErrorMessage="1" allowBlank="1" errorTitle="无效同位素" error="natural 或质量数（如 2=氘）" type="list">
      <formula1>=IF(W3="","",INDIRECT("iso_"&amp;W3))</formula1>
    </dataValidation>
    <dataValidation sqref="X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X4" showDropDown="0" showInputMessage="0" showErrorMessage="1" allowBlank="1" errorTitle="无效同位素" error="natural 或质量数（如 2=氘）" type="list">
      <formula1>=IF(X3="","",INDIRECT("iso_"&amp;X3))</formula1>
    </dataValidation>
    <dataValidation sqref="Y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Y4" showDropDown="0" showInputMessage="0" showErrorMessage="1" allowBlank="1" errorTitle="无效同位素" error="natural 或质量数（如 2=氘）" type="list">
      <formula1>=IF(Y3="","",INDIRECT("iso_"&amp;Y3))</formula1>
    </dataValidation>
    <dataValidation sqref="Z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Z4" showDropDown="0" showInputMessage="0" showErrorMessage="1" allowBlank="1" errorTitle="无效同位素" error="natural 或质量数（如 2=氘）" type="list">
      <formula1>=IF(Z3="","",INDIRECT("iso_"&amp;Z3))</formula1>
    </dataValidation>
    <dataValidation sqref="AA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AA4" showDropDown="0" showInputMessage="0" showErrorMessage="1" allowBlank="1" errorTitle="无效同位素" error="natural 或质量数（如 2=氘）" type="list">
      <formula1>=IF(AA3="","",INDIRECT("iso_"&amp;AA3))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2026-08-06T12:45:55Z</dcterms:created>
  <dcterms:modified xmlns:dcterms="http://purl.org/dc/terms/" xmlns:xsi="http://www.w3.org/2001/XMLSchema-instance" xsi:type="dcterms:W3CDTF">2026-08-06T12:45:55Z</dcterms:modified>
</cp:coreProperties>
</file>